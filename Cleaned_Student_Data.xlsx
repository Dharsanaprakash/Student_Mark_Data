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P-Laptop\OneDrive\Documents\"/>
    </mc:Choice>
  </mc:AlternateContent>
  <xr:revisionPtr revIDLastSave="0" documentId="8_{DE57C213-46E8-4966-85F9-65B850DBC314}" xr6:coauthVersionLast="47" xr6:coauthVersionMax="47" xr10:uidLastSave="{00000000-0000-0000-0000-000000000000}"/>
  <bookViews>
    <workbookView xWindow="1950" yWindow="1950" windowWidth="15375" windowHeight="7785" xr2:uid="{8300E0FB-9E1E-47DB-BA6C-71B5D7BB933E}"/>
  </bookViews>
  <sheets>
    <sheet name="clean_data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  <c r="B1" i="1"/>
  <c r="C1" i="1"/>
  <c r="D1" i="1"/>
  <c r="E1" i="1"/>
  <c r="F1" i="1"/>
  <c r="G1" i="1"/>
  <c r="H1" i="1"/>
  <c r="I1" i="1"/>
  <c r="J1" i="1"/>
  <c r="K1" i="1"/>
  <c r="B2" i="1"/>
  <c r="C2" i="1"/>
  <c r="D2" i="1"/>
  <c r="E2" i="1"/>
  <c r="F2" i="1"/>
  <c r="G2" i="1"/>
  <c r="H2" i="1"/>
  <c r="I2" i="1"/>
  <c r="J2" i="1"/>
  <c r="K2" i="1"/>
  <c r="B3" i="1"/>
  <c r="C3" i="1"/>
  <c r="D3" i="1"/>
  <c r="E3" i="1"/>
  <c r="F3" i="1"/>
  <c r="G3" i="1"/>
  <c r="H3" i="1"/>
  <c r="I3" i="1"/>
  <c r="J3" i="1"/>
  <c r="K3" i="1"/>
  <c r="B4" i="1"/>
  <c r="C4" i="1"/>
  <c r="D4" i="1"/>
  <c r="E4" i="1"/>
  <c r="F4" i="1"/>
  <c r="G4" i="1"/>
  <c r="H4" i="1"/>
  <c r="I4" i="1"/>
  <c r="J4" i="1"/>
  <c r="K4" i="1"/>
  <c r="B5" i="1"/>
  <c r="C5" i="1"/>
  <c r="D5" i="1"/>
  <c r="E5" i="1"/>
  <c r="F5" i="1"/>
  <c r="G5" i="1"/>
  <c r="H5" i="1"/>
  <c r="I5" i="1"/>
  <c r="J5" i="1"/>
  <c r="K5" i="1"/>
  <c r="B6" i="1"/>
  <c r="C6" i="1"/>
  <c r="D6" i="1"/>
  <c r="E6" i="1"/>
  <c r="F6" i="1"/>
  <c r="G6" i="1"/>
  <c r="H6" i="1"/>
  <c r="I6" i="1"/>
  <c r="J6" i="1"/>
  <c r="K6" i="1"/>
  <c r="B7" i="1"/>
  <c r="C7" i="1"/>
  <c r="D7" i="1"/>
  <c r="E7" i="1"/>
  <c r="F7" i="1"/>
  <c r="G7" i="1"/>
  <c r="H7" i="1"/>
  <c r="I7" i="1"/>
  <c r="J7" i="1"/>
  <c r="K7" i="1"/>
  <c r="B8" i="1"/>
  <c r="C8" i="1"/>
  <c r="D8" i="1"/>
  <c r="E8" i="1"/>
  <c r="F8" i="1"/>
  <c r="G8" i="1"/>
  <c r="H8" i="1"/>
  <c r="I8" i="1"/>
  <c r="J8" i="1"/>
  <c r="K8" i="1"/>
  <c r="B9" i="1"/>
  <c r="C9" i="1"/>
  <c r="D9" i="1"/>
  <c r="E9" i="1"/>
  <c r="F9" i="1"/>
  <c r="G9" i="1"/>
  <c r="H9" i="1"/>
  <c r="I9" i="1"/>
  <c r="J9" i="1"/>
  <c r="K9" i="1"/>
  <c r="B10" i="1"/>
  <c r="C10" i="1"/>
  <c r="D10" i="1"/>
  <c r="E10" i="1"/>
  <c r="F10" i="1"/>
  <c r="G10" i="1"/>
  <c r="H10" i="1"/>
  <c r="I10" i="1"/>
  <c r="J10" i="1"/>
  <c r="K10" i="1"/>
  <c r="B11" i="1"/>
  <c r="C11" i="1"/>
  <c r="D11" i="1"/>
  <c r="E11" i="1"/>
  <c r="F11" i="1"/>
  <c r="G11" i="1"/>
  <c r="H11" i="1"/>
  <c r="I11" i="1"/>
  <c r="J11" i="1"/>
  <c r="K11" i="1"/>
  <c r="B12" i="1"/>
  <c r="C12" i="1"/>
  <c r="D12" i="1"/>
  <c r="E12" i="1"/>
  <c r="F12" i="1"/>
  <c r="G12" i="1"/>
  <c r="H12" i="1"/>
  <c r="I12" i="1"/>
  <c r="J12" i="1"/>
  <c r="K12" i="1"/>
  <c r="B13" i="1"/>
  <c r="C13" i="1"/>
  <c r="D13" i="1"/>
  <c r="E13" i="1"/>
  <c r="F13" i="1"/>
  <c r="G13" i="1"/>
  <c r="H13" i="1"/>
  <c r="I13" i="1"/>
  <c r="J13" i="1"/>
  <c r="K13" i="1"/>
  <c r="B14" i="1"/>
  <c r="C14" i="1"/>
  <c r="D14" i="1"/>
  <c r="E14" i="1"/>
  <c r="F14" i="1"/>
  <c r="G14" i="1"/>
  <c r="H14" i="1"/>
  <c r="I14" i="1"/>
  <c r="J14" i="1"/>
  <c r="K14" i="1"/>
  <c r="B15" i="1"/>
  <c r="C15" i="1"/>
  <c r="D15" i="1"/>
  <c r="E15" i="1"/>
  <c r="F15" i="1"/>
  <c r="G15" i="1"/>
  <c r="H15" i="1"/>
  <c r="I15" i="1"/>
  <c r="J15" i="1"/>
  <c r="K15" i="1"/>
  <c r="B16" i="1"/>
  <c r="C16" i="1"/>
  <c r="D16" i="1"/>
  <c r="E16" i="1"/>
  <c r="F16" i="1"/>
  <c r="G16" i="1"/>
  <c r="H16" i="1"/>
  <c r="I16" i="1"/>
  <c r="J16" i="1"/>
  <c r="K16" i="1"/>
  <c r="B17" i="1"/>
  <c r="C17" i="1"/>
  <c r="D17" i="1"/>
  <c r="E17" i="1"/>
  <c r="F17" i="1"/>
  <c r="G17" i="1"/>
  <c r="H17" i="1"/>
  <c r="I17" i="1"/>
  <c r="J17" i="1"/>
  <c r="K17" i="1"/>
  <c r="B18" i="1"/>
  <c r="C18" i="1"/>
  <c r="D18" i="1"/>
  <c r="E18" i="1"/>
  <c r="F18" i="1"/>
  <c r="G18" i="1"/>
  <c r="H18" i="1"/>
  <c r="I18" i="1"/>
  <c r="J18" i="1"/>
  <c r="K18" i="1"/>
  <c r="B19" i="1"/>
  <c r="C19" i="1"/>
  <c r="D19" i="1"/>
  <c r="E19" i="1"/>
  <c r="F19" i="1"/>
  <c r="G19" i="1"/>
  <c r="H19" i="1"/>
  <c r="I19" i="1"/>
  <c r="J19" i="1"/>
  <c r="K19" i="1"/>
  <c r="B20" i="1"/>
  <c r="C20" i="1"/>
  <c r="D20" i="1"/>
  <c r="E20" i="1"/>
  <c r="F20" i="1"/>
  <c r="G20" i="1"/>
  <c r="H20" i="1"/>
  <c r="I20" i="1"/>
  <c r="J20" i="1"/>
  <c r="K20" i="1"/>
  <c r="B21" i="1"/>
  <c r="C21" i="1"/>
  <c r="D21" i="1"/>
  <c r="E21" i="1"/>
  <c r="F21" i="1"/>
  <c r="G21" i="1"/>
  <c r="H21" i="1"/>
  <c r="I21" i="1"/>
  <c r="J21" i="1"/>
  <c r="K21" i="1"/>
  <c r="B22" i="1"/>
  <c r="C22" i="1"/>
  <c r="D22" i="1"/>
  <c r="E22" i="1"/>
  <c r="F22" i="1"/>
  <c r="G22" i="1"/>
  <c r="H22" i="1"/>
  <c r="I22" i="1"/>
  <c r="J22" i="1"/>
  <c r="K22" i="1"/>
  <c r="B23" i="1"/>
  <c r="C23" i="1"/>
  <c r="D23" i="1"/>
  <c r="E23" i="1"/>
  <c r="F23" i="1"/>
  <c r="G23" i="1"/>
  <c r="H23" i="1"/>
  <c r="I23" i="1"/>
  <c r="J23" i="1"/>
  <c r="K23" i="1"/>
  <c r="B24" i="1"/>
  <c r="C24" i="1"/>
  <c r="D24" i="1"/>
  <c r="E24" i="1"/>
  <c r="F24" i="1"/>
  <c r="G24" i="1"/>
  <c r="H24" i="1"/>
  <c r="I24" i="1"/>
  <c r="J24" i="1"/>
  <c r="K24" i="1"/>
  <c r="B25" i="1"/>
  <c r="C25" i="1"/>
  <c r="D25" i="1"/>
  <c r="E25" i="1"/>
  <c r="F25" i="1"/>
  <c r="G25" i="1"/>
  <c r="H25" i="1"/>
  <c r="I25" i="1"/>
  <c r="J25" i="1"/>
  <c r="K25" i="1"/>
  <c r="B26" i="1"/>
  <c r="C26" i="1"/>
  <c r="D26" i="1"/>
  <c r="E26" i="1"/>
  <c r="F26" i="1"/>
  <c r="G26" i="1"/>
  <c r="H26" i="1"/>
  <c r="I26" i="1"/>
  <c r="J26" i="1"/>
  <c r="K26" i="1"/>
  <c r="B27" i="1"/>
  <c r="C27" i="1"/>
  <c r="D27" i="1"/>
  <c r="E27" i="1"/>
  <c r="F27" i="1"/>
  <c r="G27" i="1"/>
  <c r="H27" i="1"/>
  <c r="I27" i="1"/>
  <c r="J27" i="1"/>
  <c r="K27" i="1"/>
  <c r="B28" i="1"/>
  <c r="C28" i="1"/>
  <c r="D28" i="1"/>
  <c r="E28" i="1"/>
  <c r="F28" i="1"/>
  <c r="G28" i="1"/>
  <c r="H28" i="1"/>
  <c r="I28" i="1"/>
  <c r="J28" i="1"/>
  <c r="K28" i="1"/>
  <c r="B29" i="1"/>
  <c r="C29" i="1"/>
  <c r="D29" i="1"/>
  <c r="E29" i="1"/>
  <c r="F29" i="1"/>
  <c r="G29" i="1"/>
  <c r="H29" i="1"/>
  <c r="I29" i="1"/>
  <c r="J29" i="1"/>
  <c r="K29" i="1"/>
  <c r="B30" i="1"/>
  <c r="C30" i="1"/>
  <c r="D30" i="1"/>
  <c r="E30" i="1"/>
  <c r="F30" i="1"/>
  <c r="G30" i="1"/>
  <c r="H30" i="1"/>
  <c r="I30" i="1"/>
  <c r="J30" i="1"/>
  <c r="K30" i="1"/>
  <c r="B31" i="1"/>
  <c r="C31" i="1"/>
  <c r="D31" i="1"/>
  <c r="E31" i="1"/>
  <c r="F31" i="1"/>
  <c r="G31" i="1"/>
  <c r="H31" i="1"/>
  <c r="I31" i="1"/>
  <c r="J31" i="1"/>
  <c r="K31" i="1"/>
  <c r="B32" i="1"/>
  <c r="C32" i="1"/>
  <c r="D32" i="1"/>
  <c r="E32" i="1"/>
  <c r="F32" i="1"/>
  <c r="G32" i="1"/>
  <c r="H32" i="1"/>
  <c r="I32" i="1"/>
  <c r="J32" i="1"/>
  <c r="K32" i="1"/>
  <c r="B33" i="1"/>
  <c r="C33" i="1"/>
  <c r="D33" i="1"/>
  <c r="E33" i="1"/>
  <c r="F33" i="1"/>
  <c r="G33" i="1"/>
  <c r="H33" i="1"/>
  <c r="I33" i="1"/>
  <c r="J33" i="1"/>
  <c r="K33" i="1"/>
  <c r="B34" i="1"/>
  <c r="C34" i="1"/>
  <c r="D34" i="1"/>
  <c r="E34" i="1"/>
  <c r="F34" i="1"/>
  <c r="G34" i="1"/>
  <c r="H34" i="1"/>
  <c r="I34" i="1"/>
  <c r="J34" i="1"/>
  <c r="K34" i="1"/>
  <c r="B35" i="1"/>
  <c r="C35" i="1"/>
  <c r="D35" i="1"/>
  <c r="E35" i="1"/>
  <c r="F35" i="1"/>
  <c r="G35" i="1"/>
  <c r="H35" i="1"/>
  <c r="I35" i="1"/>
  <c r="J35" i="1"/>
  <c r="K35" i="1"/>
  <c r="B36" i="1"/>
  <c r="C36" i="1"/>
  <c r="D36" i="1"/>
  <c r="E36" i="1"/>
  <c r="F36" i="1"/>
  <c r="G36" i="1"/>
  <c r="H36" i="1"/>
  <c r="I36" i="1"/>
  <c r="J36" i="1"/>
  <c r="K36" i="1"/>
  <c r="B37" i="1"/>
  <c r="C37" i="1"/>
  <c r="D37" i="1"/>
  <c r="E37" i="1"/>
  <c r="F37" i="1"/>
  <c r="G37" i="1"/>
  <c r="H37" i="1"/>
  <c r="I37" i="1"/>
  <c r="J37" i="1"/>
  <c r="K37" i="1"/>
  <c r="B38" i="1"/>
  <c r="C38" i="1"/>
  <c r="D38" i="1"/>
  <c r="E38" i="1"/>
  <c r="F38" i="1"/>
  <c r="G38" i="1"/>
  <c r="H38" i="1"/>
  <c r="I38" i="1"/>
  <c r="J38" i="1"/>
  <c r="K38" i="1"/>
  <c r="B39" i="1"/>
  <c r="C39" i="1"/>
  <c r="D39" i="1"/>
  <c r="E39" i="1"/>
  <c r="F39" i="1"/>
  <c r="G39" i="1"/>
  <c r="H39" i="1"/>
  <c r="I39" i="1"/>
  <c r="J39" i="1"/>
  <c r="K39" i="1"/>
  <c r="B40" i="1"/>
  <c r="C40" i="1"/>
  <c r="D40" i="1"/>
  <c r="E40" i="1"/>
  <c r="F40" i="1"/>
  <c r="G40" i="1"/>
  <c r="H40" i="1"/>
  <c r="I40" i="1"/>
  <c r="J40" i="1"/>
  <c r="K40" i="1"/>
  <c r="B41" i="1"/>
  <c r="C41" i="1"/>
  <c r="D41" i="1"/>
  <c r="E41" i="1"/>
  <c r="F41" i="1"/>
  <c r="G41" i="1"/>
  <c r="H41" i="1"/>
  <c r="I41" i="1"/>
  <c r="J41" i="1"/>
  <c r="K41" i="1"/>
  <c r="B42" i="1"/>
  <c r="C42" i="1"/>
  <c r="D42" i="1"/>
  <c r="E42" i="1"/>
  <c r="F42" i="1"/>
  <c r="G42" i="1"/>
  <c r="H42" i="1"/>
  <c r="I42" i="1"/>
  <c r="J42" i="1"/>
  <c r="K42" i="1"/>
  <c r="B43" i="1"/>
  <c r="C43" i="1"/>
  <c r="D43" i="1"/>
  <c r="E43" i="1"/>
  <c r="F43" i="1"/>
  <c r="G43" i="1"/>
  <c r="H43" i="1"/>
  <c r="I43" i="1"/>
  <c r="J43" i="1"/>
  <c r="K43" i="1"/>
  <c r="B44" i="1"/>
  <c r="C44" i="1"/>
  <c r="D44" i="1"/>
  <c r="E44" i="1"/>
  <c r="F44" i="1"/>
  <c r="G44" i="1"/>
  <c r="H44" i="1"/>
  <c r="I44" i="1"/>
  <c r="J44" i="1"/>
  <c r="K44" i="1"/>
  <c r="B45" i="1"/>
  <c r="C45" i="1"/>
  <c r="D45" i="1"/>
  <c r="E45" i="1"/>
  <c r="F45" i="1"/>
  <c r="G45" i="1"/>
  <c r="H45" i="1"/>
  <c r="I45" i="1"/>
  <c r="J45" i="1"/>
  <c r="K45" i="1"/>
  <c r="B46" i="1"/>
  <c r="C46" i="1"/>
  <c r="D46" i="1"/>
  <c r="E46" i="1"/>
  <c r="F46" i="1"/>
  <c r="G46" i="1"/>
  <c r="H46" i="1"/>
  <c r="I46" i="1"/>
  <c r="J46" i="1"/>
  <c r="K46" i="1"/>
  <c r="B47" i="1"/>
  <c r="C47" i="1"/>
  <c r="D47" i="1"/>
  <c r="E47" i="1"/>
  <c r="F47" i="1"/>
  <c r="G47" i="1"/>
  <c r="H47" i="1"/>
  <c r="I47" i="1"/>
  <c r="J47" i="1"/>
  <c r="K47" i="1"/>
  <c r="B48" i="1"/>
  <c r="C48" i="1"/>
  <c r="D48" i="1"/>
  <c r="E48" i="1"/>
  <c r="F48" i="1"/>
  <c r="G48" i="1"/>
  <c r="H48" i="1"/>
  <c r="I48" i="1"/>
  <c r="J48" i="1"/>
  <c r="K48" i="1"/>
  <c r="B49" i="1"/>
  <c r="C49" i="1"/>
  <c r="D49" i="1"/>
  <c r="E49" i="1"/>
  <c r="F49" i="1"/>
  <c r="G49" i="1"/>
  <c r="H49" i="1"/>
  <c r="I49" i="1"/>
  <c r="J49" i="1"/>
  <c r="K49" i="1"/>
  <c r="B50" i="1"/>
  <c r="C50" i="1"/>
  <c r="D50" i="1"/>
  <c r="E50" i="1"/>
  <c r="F50" i="1"/>
  <c r="G50" i="1"/>
  <c r="H50" i="1"/>
  <c r="I50" i="1"/>
  <c r="J50" i="1"/>
  <c r="K50" i="1"/>
  <c r="B51" i="1"/>
  <c r="C51" i="1"/>
  <c r="D51" i="1"/>
  <c r="E51" i="1"/>
  <c r="F51" i="1"/>
  <c r="G51" i="1"/>
  <c r="H51" i="1"/>
  <c r="I51" i="1"/>
  <c r="J51" i="1"/>
  <c r="K51" i="1"/>
  <c r="B52" i="1"/>
  <c r="C52" i="1"/>
  <c r="D52" i="1"/>
  <c r="E52" i="1"/>
  <c r="F52" i="1"/>
  <c r="G52" i="1"/>
  <c r="H52" i="1"/>
  <c r="I52" i="1"/>
  <c r="J52" i="1"/>
  <c r="K52" i="1"/>
  <c r="B53" i="1"/>
  <c r="C53" i="1"/>
  <c r="D53" i="1"/>
  <c r="E53" i="1"/>
  <c r="F53" i="1"/>
  <c r="G53" i="1"/>
  <c r="H53" i="1"/>
  <c r="I53" i="1"/>
  <c r="J53" i="1"/>
  <c r="K53" i="1"/>
  <c r="B54" i="1"/>
  <c r="C54" i="1"/>
  <c r="D54" i="1"/>
  <c r="E54" i="1"/>
  <c r="F54" i="1"/>
  <c r="G54" i="1"/>
  <c r="H54" i="1"/>
  <c r="I54" i="1"/>
  <c r="J54" i="1"/>
  <c r="K54" i="1"/>
  <c r="B55" i="1"/>
  <c r="C55" i="1"/>
  <c r="D55" i="1"/>
  <c r="E55" i="1"/>
  <c r="F55" i="1"/>
  <c r="G55" i="1"/>
  <c r="H55" i="1"/>
  <c r="I55" i="1"/>
  <c r="J55" i="1"/>
  <c r="K55" i="1"/>
  <c r="B56" i="1"/>
  <c r="C56" i="1"/>
  <c r="D56" i="1"/>
  <c r="E56" i="1"/>
  <c r="F56" i="1"/>
  <c r="G56" i="1"/>
  <c r="H56" i="1"/>
  <c r="I56" i="1"/>
  <c r="J56" i="1"/>
  <c r="K56" i="1"/>
  <c r="B57" i="1"/>
  <c r="C57" i="1"/>
  <c r="D57" i="1"/>
  <c r="E57" i="1"/>
  <c r="F57" i="1"/>
  <c r="G57" i="1"/>
  <c r="H57" i="1"/>
  <c r="I57" i="1"/>
  <c r="J57" i="1"/>
  <c r="K57" i="1"/>
  <c r="B58" i="1"/>
  <c r="C58" i="1"/>
  <c r="D58" i="1"/>
  <c r="E58" i="1"/>
  <c r="F58" i="1"/>
  <c r="G58" i="1"/>
  <c r="H58" i="1"/>
  <c r="I58" i="1"/>
  <c r="J58" i="1"/>
  <c r="K58" i="1"/>
  <c r="B59" i="1"/>
  <c r="C59" i="1"/>
  <c r="D59" i="1"/>
  <c r="E59" i="1"/>
  <c r="F59" i="1"/>
  <c r="G59" i="1"/>
  <c r="H59" i="1"/>
  <c r="I59" i="1"/>
  <c r="J59" i="1"/>
  <c r="K59" i="1"/>
  <c r="B60" i="1"/>
  <c r="C60" i="1"/>
  <c r="D60" i="1"/>
  <c r="E60" i="1"/>
  <c r="F60" i="1"/>
  <c r="G60" i="1"/>
  <c r="H60" i="1"/>
  <c r="I60" i="1"/>
  <c r="J60" i="1"/>
  <c r="K60" i="1"/>
  <c r="B61" i="1"/>
  <c r="C61" i="1"/>
  <c r="D61" i="1"/>
  <c r="E61" i="1"/>
  <c r="F61" i="1"/>
  <c r="G61" i="1"/>
  <c r="H61" i="1"/>
  <c r="I61" i="1"/>
  <c r="J61" i="1"/>
  <c r="K61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</calcChain>
</file>

<file path=xl/sharedStrings.xml><?xml version="1.0" encoding="utf-8"?>
<sst xmlns="http://schemas.openxmlformats.org/spreadsheetml/2006/main" count="60" uniqueCount="60">
  <si>
    <t>S060</t>
  </si>
  <si>
    <t>S059</t>
  </si>
  <si>
    <t>S058</t>
  </si>
  <si>
    <t>S057</t>
  </si>
  <si>
    <t>S056</t>
  </si>
  <si>
    <t>S055</t>
  </si>
  <si>
    <t>S054</t>
  </si>
  <si>
    <t>S053</t>
  </si>
  <si>
    <t>S052</t>
  </si>
  <si>
    <t>S051</t>
  </si>
  <si>
    <t>S050</t>
  </si>
  <si>
    <t>S049</t>
  </si>
  <si>
    <t>S048</t>
  </si>
  <si>
    <t>S047</t>
  </si>
  <si>
    <t>S046</t>
  </si>
  <si>
    <t>S045</t>
  </si>
  <si>
    <t>S044</t>
  </si>
  <si>
    <t>S043</t>
  </si>
  <si>
    <t>S042</t>
  </si>
  <si>
    <t>S041</t>
  </si>
  <si>
    <t>S040</t>
  </si>
  <si>
    <t>S039</t>
  </si>
  <si>
    <t>S038</t>
  </si>
  <si>
    <t>S037</t>
  </si>
  <si>
    <t>S036</t>
  </si>
  <si>
    <t>S035</t>
  </si>
  <si>
    <t>S034</t>
  </si>
  <si>
    <t>S033</t>
  </si>
  <si>
    <t>S032</t>
  </si>
  <si>
    <t>S031</t>
  </si>
  <si>
    <t>S030</t>
  </si>
  <si>
    <t>S029</t>
  </si>
  <si>
    <t>S028</t>
  </si>
  <si>
    <t>S027</t>
  </si>
  <si>
    <t>S026</t>
  </si>
  <si>
    <t>S025</t>
  </si>
  <si>
    <t>S024</t>
  </si>
  <si>
    <t>S023</t>
  </si>
  <si>
    <t>S022</t>
  </si>
  <si>
    <t>S021</t>
  </si>
  <si>
    <t>S020</t>
  </si>
  <si>
    <t>S019</t>
  </si>
  <si>
    <t>S018</t>
  </si>
  <si>
    <t>S017</t>
  </si>
  <si>
    <t>S016</t>
  </si>
  <si>
    <t>S015</t>
  </si>
  <si>
    <t>S014</t>
  </si>
  <si>
    <t>S013</t>
  </si>
  <si>
    <t>S012</t>
  </si>
  <si>
    <t>S011</t>
  </si>
  <si>
    <t>S010</t>
  </si>
  <si>
    <t>S009</t>
  </si>
  <si>
    <t>S008</t>
  </si>
  <si>
    <t>S007</t>
  </si>
  <si>
    <t>S006</t>
  </si>
  <si>
    <t>S005</t>
  </si>
  <si>
    <t>S004</t>
  </si>
  <si>
    <t>S003</t>
  </si>
  <si>
    <t>S002</t>
  </si>
  <si>
    <t>S001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</si>
</sst>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P-Laptop\OneDrive\Documents\Raw_Student_Data.xlsx" TargetMode="External"/><Relationship Id="rId1" Type="http://schemas.openxmlformats.org/officeDocument/2006/relationships/externalLinkPath" Target="Raw_Student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_data"/>
    </sheetNames>
    <sheetDataSet>
      <sheetData sheetId="0">
        <row r="1">
          <cell r="A1" t="str">
            <v>Student_ID</v>
          </cell>
          <cell r="B1" t="str">
            <v>Name</v>
          </cell>
          <cell r="C1" t="str">
            <v>Gender</v>
          </cell>
          <cell r="D1" t="str">
            <v>Age</v>
          </cell>
          <cell r="E1" t="str">
            <v>Class</v>
          </cell>
          <cell r="F1" t="str">
            <v>Section</v>
          </cell>
          <cell r="G1" t="str">
            <v>Math</v>
          </cell>
          <cell r="H1" t="str">
            <v>Science</v>
          </cell>
          <cell r="I1" t="str">
            <v>English</v>
          </cell>
          <cell r="J1" t="str">
            <v>Attendance_%</v>
          </cell>
          <cell r="K1" t="str">
            <v>Phone</v>
          </cell>
        </row>
        <row r="2">
          <cell r="B2" t="str">
            <v>Sneha Kumar</v>
          </cell>
          <cell r="C2" t="str">
            <v>Male</v>
          </cell>
          <cell r="E2" t="str">
            <v>X</v>
          </cell>
          <cell r="F2" t="str">
            <v xml:space="preserve"> b</v>
          </cell>
          <cell r="G2" t="str">
            <v>absent</v>
          </cell>
          <cell r="J2">
            <v>98</v>
          </cell>
          <cell r="K2" t="str">
            <v>9876543210</v>
          </cell>
        </row>
        <row r="3">
          <cell r="B3" t="str">
            <v>pooja</v>
          </cell>
          <cell r="C3" t="str">
            <v>Fem</v>
          </cell>
          <cell r="E3" t="str">
            <v>10</v>
          </cell>
          <cell r="F3" t="str">
            <v xml:space="preserve"> b</v>
          </cell>
          <cell r="G3" t="str">
            <v>absent</v>
          </cell>
          <cell r="H3" t="str">
            <v>NA</v>
          </cell>
          <cell r="J3">
            <v>70</v>
          </cell>
        </row>
        <row r="4">
          <cell r="B4" t="str">
            <v>ROHAN</v>
          </cell>
          <cell r="C4" t="str">
            <v>F</v>
          </cell>
          <cell r="D4">
            <v>200</v>
          </cell>
          <cell r="E4" t="str">
            <v>ten</v>
          </cell>
          <cell r="F4" t="str">
            <v>C</v>
          </cell>
          <cell r="H4" t="str">
            <v>NA</v>
          </cell>
          <cell r="I4">
            <v>52</v>
          </cell>
          <cell r="J4" t="str">
            <v>82%</v>
          </cell>
        </row>
        <row r="5">
          <cell r="B5" t="str">
            <v xml:space="preserve"> Sneha </v>
          </cell>
          <cell r="C5" t="str">
            <v>Male</v>
          </cell>
          <cell r="D5">
            <v>16</v>
          </cell>
          <cell r="E5" t="str">
            <v>Ten</v>
          </cell>
          <cell r="F5" t="str">
            <v>Sec-A</v>
          </cell>
          <cell r="G5">
            <v>-5</v>
          </cell>
          <cell r="H5" t="str">
            <v>NA</v>
          </cell>
          <cell r="I5">
            <v>45</v>
          </cell>
          <cell r="J5" t="str">
            <v>96%</v>
          </cell>
        </row>
        <row r="6">
          <cell r="B6" t="str">
            <v xml:space="preserve"> Aarav </v>
          </cell>
          <cell r="C6" t="str">
            <v>M</v>
          </cell>
          <cell r="E6" t="str">
            <v>Ten</v>
          </cell>
          <cell r="F6" t="str">
            <v>A</v>
          </cell>
          <cell r="H6">
            <v>150</v>
          </cell>
          <cell r="I6" t="str">
            <v>n/a</v>
          </cell>
          <cell r="J6" t="str">
            <v>71%</v>
          </cell>
          <cell r="K6" t="str">
            <v>9876543210</v>
          </cell>
        </row>
        <row r="7">
          <cell r="B7" t="str">
            <v xml:space="preserve"> Rahul </v>
          </cell>
          <cell r="C7" t="str">
            <v>MALE</v>
          </cell>
          <cell r="E7" t="str">
            <v>ten</v>
          </cell>
          <cell r="F7" t="str">
            <v>Sec-A</v>
          </cell>
          <cell r="G7" t="str">
            <v>absent</v>
          </cell>
          <cell r="K7" t="str">
            <v>9876543210</v>
          </cell>
        </row>
        <row r="8">
          <cell r="B8" t="str">
            <v>Meera</v>
          </cell>
          <cell r="C8" t="str">
            <v>Female</v>
          </cell>
          <cell r="D8">
            <v>15</v>
          </cell>
          <cell r="E8" t="str">
            <v>10</v>
          </cell>
          <cell r="F8" t="str">
            <v>A</v>
          </cell>
          <cell r="H8">
            <v>150</v>
          </cell>
          <cell r="I8" t="str">
            <v>n/a</v>
          </cell>
          <cell r="K8" t="str">
            <v>9876543210</v>
          </cell>
        </row>
        <row r="9">
          <cell r="B9" t="str">
            <v>aditya</v>
          </cell>
          <cell r="C9" t="str">
            <v>F</v>
          </cell>
          <cell r="D9">
            <v>200</v>
          </cell>
          <cell r="E9" t="str">
            <v>10</v>
          </cell>
          <cell r="F9" t="str">
            <v>Sec-A</v>
          </cell>
          <cell r="G9">
            <v>-5</v>
          </cell>
          <cell r="H9">
            <v>150</v>
          </cell>
          <cell r="I9">
            <v>84</v>
          </cell>
          <cell r="K9" t="str">
            <v>98-7654-3210</v>
          </cell>
        </row>
        <row r="10">
          <cell r="B10" t="str">
            <v>MEERA</v>
          </cell>
          <cell r="C10" t="str">
            <v>female</v>
          </cell>
          <cell r="D10">
            <v>14</v>
          </cell>
          <cell r="E10" t="str">
            <v>10th</v>
          </cell>
          <cell r="F10" t="str">
            <v>A</v>
          </cell>
          <cell r="H10">
            <v>150</v>
          </cell>
          <cell r="I10">
            <v>97</v>
          </cell>
          <cell r="J10" t="str">
            <v>77%</v>
          </cell>
          <cell r="K10" t="str">
            <v>98-7654-3210</v>
          </cell>
        </row>
        <row r="11">
          <cell r="B11" t="str">
            <v xml:space="preserve"> Meera </v>
          </cell>
          <cell r="C11" t="str">
            <v>MALE</v>
          </cell>
          <cell r="D11" t="str">
            <v>Sixteen</v>
          </cell>
          <cell r="E11" t="str">
            <v>10</v>
          </cell>
          <cell r="F11" t="str">
            <v>C</v>
          </cell>
          <cell r="H11">
            <v>150</v>
          </cell>
          <cell r="I11" t="str">
            <v>n/a</v>
          </cell>
          <cell r="J11" t="str">
            <v>66%</v>
          </cell>
        </row>
        <row r="12">
          <cell r="B12" t="str">
            <v>AARAV</v>
          </cell>
          <cell r="C12" t="str">
            <v>male</v>
          </cell>
          <cell r="D12" t="str">
            <v>Sixteen</v>
          </cell>
          <cell r="E12" t="str">
            <v>10</v>
          </cell>
          <cell r="F12" t="str">
            <v>B</v>
          </cell>
          <cell r="G12">
            <v>-5</v>
          </cell>
          <cell r="H12">
            <v>46</v>
          </cell>
          <cell r="K12" t="str">
            <v>98-7654-3210</v>
          </cell>
        </row>
        <row r="13">
          <cell r="B13" t="str">
            <v>VIVAAN</v>
          </cell>
          <cell r="C13" t="str">
            <v>F</v>
          </cell>
          <cell r="D13">
            <v>200</v>
          </cell>
          <cell r="E13" t="str">
            <v>10</v>
          </cell>
          <cell r="F13" t="str">
            <v xml:space="preserve"> b</v>
          </cell>
          <cell r="G13">
            <v>92</v>
          </cell>
          <cell r="J13" t="str">
            <v>86%</v>
          </cell>
        </row>
        <row r="14">
          <cell r="B14" t="str">
            <v>ananya</v>
          </cell>
          <cell r="C14" t="str">
            <v>male</v>
          </cell>
          <cell r="D14">
            <v>15</v>
          </cell>
          <cell r="E14" t="str">
            <v>10th</v>
          </cell>
          <cell r="F14" t="str">
            <v>B</v>
          </cell>
          <cell r="G14" t="str">
            <v>absent</v>
          </cell>
          <cell r="H14">
            <v>150</v>
          </cell>
          <cell r="J14" t="str">
            <v>79%</v>
          </cell>
          <cell r="K14" t="str">
            <v>9876543210</v>
          </cell>
        </row>
        <row r="15">
          <cell r="B15" t="str">
            <v xml:space="preserve"> Kabir </v>
          </cell>
          <cell r="C15" t="str">
            <v>F</v>
          </cell>
          <cell r="D15" t="str">
            <v>Sixteen</v>
          </cell>
          <cell r="E15" t="str">
            <v>X</v>
          </cell>
          <cell r="F15" t="str">
            <v>A</v>
          </cell>
          <cell r="G15">
            <v>-5</v>
          </cell>
          <cell r="H15" t="str">
            <v>NA</v>
          </cell>
        </row>
        <row r="16">
          <cell r="B16" t="str">
            <v>rohan</v>
          </cell>
          <cell r="C16" t="str">
            <v>MALE</v>
          </cell>
          <cell r="E16" t="str">
            <v>X</v>
          </cell>
          <cell r="F16" t="str">
            <v>C</v>
          </cell>
          <cell r="G16">
            <v>84</v>
          </cell>
          <cell r="H16">
            <v>150</v>
          </cell>
          <cell r="I16" t="str">
            <v>n/a</v>
          </cell>
          <cell r="K16" t="str">
            <v>98765 43210</v>
          </cell>
        </row>
        <row r="17">
          <cell r="B17" t="str">
            <v>Vivaan</v>
          </cell>
          <cell r="C17" t="str">
            <v>male</v>
          </cell>
          <cell r="D17">
            <v>18</v>
          </cell>
          <cell r="E17" t="str">
            <v>10</v>
          </cell>
          <cell r="F17" t="str">
            <v xml:space="preserve"> b</v>
          </cell>
          <cell r="G17">
            <v>50</v>
          </cell>
          <cell r="H17">
            <v>37</v>
          </cell>
          <cell r="I17">
            <v>95</v>
          </cell>
          <cell r="J17">
            <v>63</v>
          </cell>
          <cell r="K17" t="str">
            <v>98-7654-3210</v>
          </cell>
        </row>
        <row r="18">
          <cell r="B18" t="str">
            <v>Diya Kumar</v>
          </cell>
          <cell r="C18" t="str">
            <v>Male</v>
          </cell>
          <cell r="D18" t="str">
            <v>Sixteen</v>
          </cell>
          <cell r="E18" t="str">
            <v>10th</v>
          </cell>
          <cell r="F18" t="str">
            <v xml:space="preserve">a </v>
          </cell>
          <cell r="G18" t="str">
            <v>absent</v>
          </cell>
          <cell r="H18">
            <v>67</v>
          </cell>
          <cell r="I18" t="str">
            <v>n/a</v>
          </cell>
          <cell r="J18">
            <v>94</v>
          </cell>
          <cell r="K18" t="str">
            <v>9876543210</v>
          </cell>
        </row>
        <row r="19">
          <cell r="B19" t="str">
            <v>Meera Kumar</v>
          </cell>
          <cell r="C19" t="str">
            <v>M</v>
          </cell>
          <cell r="E19" t="str">
            <v>10th</v>
          </cell>
          <cell r="F19" t="str">
            <v xml:space="preserve">a </v>
          </cell>
          <cell r="H19">
            <v>150</v>
          </cell>
        </row>
        <row r="20">
          <cell r="B20" t="str">
            <v>kabir</v>
          </cell>
          <cell r="C20" t="str">
            <v>female</v>
          </cell>
          <cell r="D20">
            <v>200</v>
          </cell>
          <cell r="E20" t="str">
            <v>10th</v>
          </cell>
          <cell r="F20" t="str">
            <v xml:space="preserve"> b</v>
          </cell>
          <cell r="I20">
            <v>78</v>
          </cell>
          <cell r="J20">
            <v>81</v>
          </cell>
          <cell r="K20" t="str">
            <v>98765 43210</v>
          </cell>
        </row>
        <row r="21">
          <cell r="B21" t="str">
            <v xml:space="preserve"> Kabir </v>
          </cell>
          <cell r="C21" t="str">
            <v>F</v>
          </cell>
          <cell r="E21" t="str">
            <v>10</v>
          </cell>
          <cell r="F21" t="str">
            <v>A</v>
          </cell>
          <cell r="H21">
            <v>150</v>
          </cell>
          <cell r="J21" t="str">
            <v>100%</v>
          </cell>
        </row>
        <row r="22">
          <cell r="B22" t="str">
            <v>Aarav</v>
          </cell>
          <cell r="C22" t="str">
            <v>MALE</v>
          </cell>
          <cell r="E22" t="str">
            <v>10th</v>
          </cell>
          <cell r="F22" t="str">
            <v>Sec-A</v>
          </cell>
        </row>
        <row r="23">
          <cell r="B23" t="str">
            <v>Aditya Kumar</v>
          </cell>
          <cell r="C23" t="str">
            <v>M</v>
          </cell>
          <cell r="D23">
            <v>200</v>
          </cell>
          <cell r="E23" t="str">
            <v>10th</v>
          </cell>
          <cell r="F23" t="str">
            <v>Sec-A</v>
          </cell>
          <cell r="G23">
            <v>-5</v>
          </cell>
          <cell r="H23">
            <v>56</v>
          </cell>
          <cell r="I23" t="str">
            <v>n/a</v>
          </cell>
          <cell r="K23" t="str">
            <v>98-7654-3210</v>
          </cell>
        </row>
        <row r="24">
          <cell r="B24" t="str">
            <v>KABIR</v>
          </cell>
          <cell r="C24" t="str">
            <v>female</v>
          </cell>
          <cell r="E24" t="str">
            <v>ten</v>
          </cell>
          <cell r="F24" t="str">
            <v>A</v>
          </cell>
          <cell r="K24" t="str">
            <v>9876543210</v>
          </cell>
        </row>
        <row r="25">
          <cell r="B25" t="str">
            <v>ADITYA</v>
          </cell>
          <cell r="C25" t="str">
            <v>Fem</v>
          </cell>
          <cell r="D25">
            <v>15</v>
          </cell>
          <cell r="E25" t="str">
            <v>ten</v>
          </cell>
          <cell r="F25" t="str">
            <v>A</v>
          </cell>
          <cell r="G25" t="str">
            <v>absent</v>
          </cell>
          <cell r="K25" t="str">
            <v>98-7654-3210</v>
          </cell>
        </row>
        <row r="26">
          <cell r="B26" t="str">
            <v>ADITYA</v>
          </cell>
          <cell r="C26" t="str">
            <v>Female</v>
          </cell>
          <cell r="D26" t="str">
            <v>Sixteen</v>
          </cell>
          <cell r="E26" t="str">
            <v>10</v>
          </cell>
          <cell r="F26" t="str">
            <v xml:space="preserve">a </v>
          </cell>
          <cell r="G26">
            <v>47</v>
          </cell>
          <cell r="H26">
            <v>84</v>
          </cell>
          <cell r="I26">
            <v>84</v>
          </cell>
          <cell r="J26">
            <v>80</v>
          </cell>
          <cell r="K26" t="str">
            <v>9876543210</v>
          </cell>
        </row>
        <row r="27">
          <cell r="B27" t="str">
            <v xml:space="preserve"> Ananya </v>
          </cell>
          <cell r="C27" t="str">
            <v>Female</v>
          </cell>
          <cell r="E27" t="str">
            <v>X</v>
          </cell>
          <cell r="F27" t="str">
            <v xml:space="preserve"> b</v>
          </cell>
          <cell r="H27" t="str">
            <v>NA</v>
          </cell>
          <cell r="J27" t="str">
            <v>85%</v>
          </cell>
        </row>
        <row r="28">
          <cell r="B28" t="str">
            <v>Ananya Kumar</v>
          </cell>
          <cell r="C28" t="str">
            <v>female</v>
          </cell>
          <cell r="D28">
            <v>17</v>
          </cell>
          <cell r="E28" t="str">
            <v>10</v>
          </cell>
          <cell r="F28" t="str">
            <v>A</v>
          </cell>
        </row>
        <row r="29">
          <cell r="B29" t="str">
            <v>AARAV</v>
          </cell>
          <cell r="C29" t="str">
            <v>Female</v>
          </cell>
          <cell r="D29">
            <v>200</v>
          </cell>
          <cell r="E29" t="str">
            <v>10</v>
          </cell>
          <cell r="F29" t="str">
            <v>Sec-A</v>
          </cell>
          <cell r="J29" t="str">
            <v>86%</v>
          </cell>
          <cell r="K29" t="str">
            <v>98-7654-3210</v>
          </cell>
        </row>
        <row r="30">
          <cell r="B30" t="str">
            <v>RAHUL</v>
          </cell>
          <cell r="C30" t="str">
            <v>Female</v>
          </cell>
          <cell r="D30">
            <v>18</v>
          </cell>
          <cell r="E30" t="str">
            <v>10</v>
          </cell>
          <cell r="F30" t="str">
            <v>Sec-A</v>
          </cell>
          <cell r="G30">
            <v>79</v>
          </cell>
          <cell r="J30" t="str">
            <v>61%</v>
          </cell>
        </row>
        <row r="31">
          <cell r="B31" t="str">
            <v>vivaan</v>
          </cell>
          <cell r="C31" t="str">
            <v>MALE</v>
          </cell>
          <cell r="D31">
            <v>15</v>
          </cell>
          <cell r="E31" t="str">
            <v>Ten</v>
          </cell>
          <cell r="F31" t="str">
            <v>B</v>
          </cell>
        </row>
        <row r="32">
          <cell r="B32" t="str">
            <v>SNEHA</v>
          </cell>
          <cell r="C32" t="str">
            <v>M</v>
          </cell>
          <cell r="D32">
            <v>200</v>
          </cell>
          <cell r="E32" t="str">
            <v>10th</v>
          </cell>
          <cell r="F32" t="str">
            <v>Sec-A</v>
          </cell>
          <cell r="H32" t="str">
            <v>NA</v>
          </cell>
          <cell r="I32">
            <v>64</v>
          </cell>
          <cell r="J32">
            <v>60</v>
          </cell>
        </row>
        <row r="33">
          <cell r="B33" t="str">
            <v>AARAV</v>
          </cell>
          <cell r="C33" t="str">
            <v>F</v>
          </cell>
          <cell r="E33" t="str">
            <v>10</v>
          </cell>
          <cell r="F33" t="str">
            <v xml:space="preserve"> b</v>
          </cell>
          <cell r="H33" t="str">
            <v>NA</v>
          </cell>
          <cell r="J33" t="str">
            <v>61%</v>
          </cell>
        </row>
        <row r="34">
          <cell r="B34" t="str">
            <v>diya</v>
          </cell>
          <cell r="C34" t="str">
            <v>Male</v>
          </cell>
          <cell r="E34" t="str">
            <v>10th</v>
          </cell>
          <cell r="F34" t="str">
            <v>B</v>
          </cell>
          <cell r="G34">
            <v>-5</v>
          </cell>
          <cell r="H34">
            <v>150</v>
          </cell>
          <cell r="I34">
            <v>74</v>
          </cell>
          <cell r="J34">
            <v>99</v>
          </cell>
          <cell r="K34" t="str">
            <v>98765 43210</v>
          </cell>
        </row>
        <row r="35">
          <cell r="B35" t="str">
            <v>Pooja Kumar</v>
          </cell>
          <cell r="C35" t="str">
            <v>M</v>
          </cell>
          <cell r="E35" t="str">
            <v>10th</v>
          </cell>
          <cell r="F35" t="str">
            <v>C</v>
          </cell>
          <cell r="G35" t="str">
            <v>absent</v>
          </cell>
          <cell r="H35">
            <v>150</v>
          </cell>
          <cell r="J35">
            <v>60</v>
          </cell>
          <cell r="K35" t="str">
            <v>98-7654-3210</v>
          </cell>
        </row>
        <row r="36">
          <cell r="B36" t="str">
            <v xml:space="preserve"> Vivaan </v>
          </cell>
          <cell r="C36" t="str">
            <v>female</v>
          </cell>
          <cell r="E36" t="str">
            <v>10</v>
          </cell>
          <cell r="F36" t="str">
            <v>B</v>
          </cell>
          <cell r="J36" t="str">
            <v>64%</v>
          </cell>
        </row>
        <row r="37">
          <cell r="B37" t="str">
            <v xml:space="preserve"> Kabir </v>
          </cell>
          <cell r="C37" t="str">
            <v>M</v>
          </cell>
          <cell r="E37" t="str">
            <v>10th</v>
          </cell>
          <cell r="F37" t="str">
            <v xml:space="preserve">a </v>
          </cell>
          <cell r="G37">
            <v>-5</v>
          </cell>
          <cell r="I37" t="str">
            <v>n/a</v>
          </cell>
        </row>
        <row r="38">
          <cell r="B38" t="str">
            <v xml:space="preserve"> Rahul </v>
          </cell>
          <cell r="C38" t="str">
            <v>MALE</v>
          </cell>
          <cell r="D38">
            <v>14</v>
          </cell>
          <cell r="E38" t="str">
            <v>X</v>
          </cell>
          <cell r="F38" t="str">
            <v>A</v>
          </cell>
          <cell r="G38">
            <v>-5</v>
          </cell>
          <cell r="H38">
            <v>150</v>
          </cell>
          <cell r="I38" t="str">
            <v>n/a</v>
          </cell>
        </row>
        <row r="39">
          <cell r="B39" t="str">
            <v>diya</v>
          </cell>
          <cell r="C39" t="str">
            <v>F</v>
          </cell>
          <cell r="D39" t="str">
            <v>Sixteen</v>
          </cell>
          <cell r="E39" t="str">
            <v>Ten</v>
          </cell>
          <cell r="F39" t="str">
            <v>C</v>
          </cell>
          <cell r="G39" t="str">
            <v>absent</v>
          </cell>
          <cell r="I39" t="str">
            <v>n/a</v>
          </cell>
          <cell r="J39" t="str">
            <v>79%</v>
          </cell>
          <cell r="K39" t="str">
            <v>9876543210</v>
          </cell>
        </row>
        <row r="40">
          <cell r="B40" t="str">
            <v>aarav</v>
          </cell>
          <cell r="C40" t="str">
            <v>F</v>
          </cell>
          <cell r="D40">
            <v>200</v>
          </cell>
          <cell r="E40" t="str">
            <v>ten</v>
          </cell>
          <cell r="F40" t="str">
            <v xml:space="preserve">a </v>
          </cell>
          <cell r="G40">
            <v>57</v>
          </cell>
          <cell r="H40">
            <v>150</v>
          </cell>
          <cell r="J40" t="str">
            <v>91%</v>
          </cell>
          <cell r="K40" t="str">
            <v>9876543210</v>
          </cell>
        </row>
        <row r="41">
          <cell r="B41" t="str">
            <v>RAHUL</v>
          </cell>
          <cell r="C41" t="str">
            <v>MALE</v>
          </cell>
          <cell r="D41" t="str">
            <v>Sixteen</v>
          </cell>
          <cell r="E41" t="str">
            <v>Ten</v>
          </cell>
          <cell r="F41" t="str">
            <v>A</v>
          </cell>
          <cell r="G41">
            <v>79</v>
          </cell>
          <cell r="K41" t="str">
            <v>98765 43210</v>
          </cell>
        </row>
        <row r="42">
          <cell r="B42" t="str">
            <v>ISHA</v>
          </cell>
          <cell r="C42" t="str">
            <v>male</v>
          </cell>
          <cell r="D42">
            <v>200</v>
          </cell>
          <cell r="E42" t="str">
            <v>ten</v>
          </cell>
          <cell r="F42" t="str">
            <v>A</v>
          </cell>
          <cell r="G42">
            <v>-5</v>
          </cell>
          <cell r="H42" t="str">
            <v>NA</v>
          </cell>
          <cell r="I42">
            <v>88</v>
          </cell>
          <cell r="J42">
            <v>94</v>
          </cell>
          <cell r="K42" t="str">
            <v>98-7654-3210</v>
          </cell>
        </row>
        <row r="43">
          <cell r="B43" t="str">
            <v>AARAV</v>
          </cell>
          <cell r="C43" t="str">
            <v>M</v>
          </cell>
          <cell r="D43">
            <v>200</v>
          </cell>
          <cell r="E43" t="str">
            <v>10</v>
          </cell>
          <cell r="F43" t="str">
            <v xml:space="preserve">a </v>
          </cell>
          <cell r="G43">
            <v>-5</v>
          </cell>
          <cell r="H43">
            <v>150</v>
          </cell>
          <cell r="I43" t="str">
            <v>n/a</v>
          </cell>
        </row>
        <row r="44">
          <cell r="B44" t="str">
            <v>aditya</v>
          </cell>
          <cell r="C44" t="str">
            <v>Female</v>
          </cell>
          <cell r="E44" t="str">
            <v>Ten</v>
          </cell>
          <cell r="F44" t="str">
            <v>Sec-A</v>
          </cell>
          <cell r="G44" t="str">
            <v>absent</v>
          </cell>
        </row>
        <row r="45">
          <cell r="B45" t="str">
            <v>POOJA</v>
          </cell>
          <cell r="C45" t="str">
            <v>female</v>
          </cell>
          <cell r="D45" t="str">
            <v>Sixteen</v>
          </cell>
          <cell r="E45" t="str">
            <v>X</v>
          </cell>
          <cell r="F45" t="str">
            <v xml:space="preserve"> b</v>
          </cell>
          <cell r="G45">
            <v>-5</v>
          </cell>
          <cell r="H45" t="str">
            <v>NA</v>
          </cell>
          <cell r="J45" t="str">
            <v>92%</v>
          </cell>
        </row>
        <row r="46">
          <cell r="B46" t="str">
            <v>POOJA</v>
          </cell>
          <cell r="C46" t="str">
            <v>F</v>
          </cell>
          <cell r="D46" t="str">
            <v>Sixteen</v>
          </cell>
          <cell r="E46" t="str">
            <v>Ten</v>
          </cell>
          <cell r="F46" t="str">
            <v>C</v>
          </cell>
          <cell r="G46" t="str">
            <v>absent</v>
          </cell>
          <cell r="H46">
            <v>51</v>
          </cell>
          <cell r="J46">
            <v>83</v>
          </cell>
          <cell r="K46" t="str">
            <v>98765 43210</v>
          </cell>
        </row>
        <row r="47">
          <cell r="B47" t="str">
            <v>sneha</v>
          </cell>
          <cell r="C47" t="str">
            <v>Fem</v>
          </cell>
          <cell r="D47">
            <v>15</v>
          </cell>
          <cell r="E47" t="str">
            <v>ten</v>
          </cell>
          <cell r="F47" t="str">
            <v>C</v>
          </cell>
          <cell r="G47">
            <v>-5</v>
          </cell>
          <cell r="H47" t="str">
            <v>NA</v>
          </cell>
          <cell r="I47" t="str">
            <v>n/a</v>
          </cell>
          <cell r="J47">
            <v>76</v>
          </cell>
        </row>
        <row r="48">
          <cell r="B48" t="str">
            <v>Vivaan Kumar</v>
          </cell>
          <cell r="C48" t="str">
            <v>Female</v>
          </cell>
          <cell r="E48" t="str">
            <v>X</v>
          </cell>
          <cell r="F48" t="str">
            <v>Sec-A</v>
          </cell>
          <cell r="G48" t="str">
            <v>absent</v>
          </cell>
          <cell r="I48" t="str">
            <v>n/a</v>
          </cell>
          <cell r="K48" t="str">
            <v>98-7654-3210</v>
          </cell>
        </row>
        <row r="49">
          <cell r="B49" t="str">
            <v>ANANYA</v>
          </cell>
          <cell r="C49" t="str">
            <v>Female</v>
          </cell>
          <cell r="D49">
            <v>16</v>
          </cell>
          <cell r="E49" t="str">
            <v>Ten</v>
          </cell>
          <cell r="F49" t="str">
            <v>C</v>
          </cell>
          <cell r="J49">
            <v>75</v>
          </cell>
          <cell r="K49" t="str">
            <v>9876543210</v>
          </cell>
        </row>
        <row r="50">
          <cell r="B50" t="str">
            <v>Vivaan Kumar</v>
          </cell>
          <cell r="C50" t="str">
            <v>M</v>
          </cell>
          <cell r="D50">
            <v>15</v>
          </cell>
          <cell r="E50" t="str">
            <v>X</v>
          </cell>
          <cell r="F50" t="str">
            <v>Sec-A</v>
          </cell>
          <cell r="G50">
            <v>-5</v>
          </cell>
          <cell r="H50">
            <v>150</v>
          </cell>
          <cell r="K50" t="str">
            <v>9876543210</v>
          </cell>
        </row>
        <row r="51">
          <cell r="B51" t="str">
            <v xml:space="preserve"> Rohan </v>
          </cell>
          <cell r="C51" t="str">
            <v>Male</v>
          </cell>
          <cell r="D51">
            <v>200</v>
          </cell>
          <cell r="E51" t="str">
            <v>10</v>
          </cell>
          <cell r="F51" t="str">
            <v xml:space="preserve">a </v>
          </cell>
          <cell r="H51" t="str">
            <v>NA</v>
          </cell>
          <cell r="J51" t="str">
            <v>90%</v>
          </cell>
          <cell r="K51" t="str">
            <v>9876543210</v>
          </cell>
        </row>
        <row r="52">
          <cell r="B52" t="str">
            <v>Rohan</v>
          </cell>
          <cell r="C52" t="str">
            <v>female</v>
          </cell>
          <cell r="E52" t="str">
            <v>Ten</v>
          </cell>
          <cell r="F52" t="str">
            <v>Sec-A</v>
          </cell>
          <cell r="G52">
            <v>-5</v>
          </cell>
          <cell r="I52" t="str">
            <v>n/a</v>
          </cell>
          <cell r="J52" t="str">
            <v>79%</v>
          </cell>
          <cell r="K52" t="str">
            <v>9876543210</v>
          </cell>
        </row>
        <row r="53">
          <cell r="B53" t="str">
            <v xml:space="preserve"> Meera </v>
          </cell>
          <cell r="C53" t="str">
            <v>female</v>
          </cell>
          <cell r="D53">
            <v>200</v>
          </cell>
          <cell r="E53" t="str">
            <v>10th</v>
          </cell>
          <cell r="F53" t="str">
            <v>Sec-A</v>
          </cell>
          <cell r="H53" t="str">
            <v>NA</v>
          </cell>
          <cell r="I53">
            <v>96</v>
          </cell>
          <cell r="J53">
            <v>64</v>
          </cell>
          <cell r="K53" t="str">
            <v>9876543210</v>
          </cell>
        </row>
        <row r="54">
          <cell r="B54" t="str">
            <v>Pooja</v>
          </cell>
          <cell r="C54" t="str">
            <v>female</v>
          </cell>
          <cell r="E54" t="str">
            <v>X</v>
          </cell>
          <cell r="F54" t="str">
            <v>A</v>
          </cell>
          <cell r="G54">
            <v>-5</v>
          </cell>
          <cell r="H54">
            <v>37</v>
          </cell>
          <cell r="K54" t="str">
            <v>9876543210</v>
          </cell>
        </row>
        <row r="55">
          <cell r="B55" t="str">
            <v>vivaan</v>
          </cell>
          <cell r="C55" t="str">
            <v>Female</v>
          </cell>
          <cell r="D55">
            <v>14</v>
          </cell>
          <cell r="E55" t="str">
            <v>X</v>
          </cell>
          <cell r="F55" t="str">
            <v xml:space="preserve"> b</v>
          </cell>
          <cell r="G55">
            <v>89</v>
          </cell>
          <cell r="H55">
            <v>94</v>
          </cell>
          <cell r="I55">
            <v>77</v>
          </cell>
          <cell r="K55" t="str">
            <v>98765 43210</v>
          </cell>
        </row>
        <row r="56">
          <cell r="B56" t="str">
            <v>Isha</v>
          </cell>
          <cell r="C56" t="str">
            <v>MALE</v>
          </cell>
          <cell r="D56">
            <v>15</v>
          </cell>
          <cell r="E56" t="str">
            <v>10</v>
          </cell>
          <cell r="F56" t="str">
            <v>Sec-A</v>
          </cell>
          <cell r="G56">
            <v>40</v>
          </cell>
          <cell r="H56">
            <v>150</v>
          </cell>
          <cell r="I56" t="str">
            <v>n/a</v>
          </cell>
          <cell r="J56" t="str">
            <v>67%</v>
          </cell>
        </row>
        <row r="57">
          <cell r="B57" t="str">
            <v>ANANYA</v>
          </cell>
          <cell r="C57" t="str">
            <v>MALE</v>
          </cell>
          <cell r="E57" t="str">
            <v>10</v>
          </cell>
          <cell r="F57" t="str">
            <v>C</v>
          </cell>
          <cell r="G57">
            <v>72</v>
          </cell>
          <cell r="H57" t="str">
            <v>NA</v>
          </cell>
          <cell r="J57">
            <v>75</v>
          </cell>
          <cell r="K57" t="str">
            <v>98765 43210</v>
          </cell>
        </row>
        <row r="58">
          <cell r="B58" t="str">
            <v>DIYA</v>
          </cell>
          <cell r="C58" t="str">
            <v>Male</v>
          </cell>
          <cell r="D58">
            <v>200</v>
          </cell>
          <cell r="E58" t="str">
            <v>ten</v>
          </cell>
          <cell r="F58" t="str">
            <v xml:space="preserve">a </v>
          </cell>
          <cell r="H58">
            <v>150</v>
          </cell>
          <cell r="I58" t="str">
            <v>n/a</v>
          </cell>
          <cell r="J58">
            <v>74</v>
          </cell>
          <cell r="K58" t="str">
            <v>9876543210</v>
          </cell>
        </row>
        <row r="59">
          <cell r="B59" t="str">
            <v>AARAV</v>
          </cell>
          <cell r="C59" t="str">
            <v>Fem</v>
          </cell>
          <cell r="D59">
            <v>200</v>
          </cell>
          <cell r="E59" t="str">
            <v>Ten</v>
          </cell>
          <cell r="F59" t="str">
            <v xml:space="preserve">a </v>
          </cell>
          <cell r="G59" t="str">
            <v>absent</v>
          </cell>
          <cell r="H59" t="str">
            <v>NA</v>
          </cell>
          <cell r="J59" t="str">
            <v>69%</v>
          </cell>
          <cell r="K59" t="str">
            <v>98-7654-3210</v>
          </cell>
        </row>
        <row r="60">
          <cell r="B60" t="str">
            <v>POOJA</v>
          </cell>
          <cell r="C60" t="str">
            <v>Male</v>
          </cell>
          <cell r="E60" t="str">
            <v>ten</v>
          </cell>
          <cell r="F60" t="str">
            <v>C</v>
          </cell>
          <cell r="H60" t="str">
            <v>NA</v>
          </cell>
        </row>
        <row r="61">
          <cell r="B61" t="str">
            <v>rohan</v>
          </cell>
          <cell r="C61" t="str">
            <v>male</v>
          </cell>
          <cell r="D61">
            <v>200</v>
          </cell>
          <cell r="E61" t="str">
            <v>Ten</v>
          </cell>
          <cell r="F61" t="str">
            <v>Sec-A</v>
          </cell>
          <cell r="G61" t="str">
            <v>absent</v>
          </cell>
          <cell r="H61">
            <v>150</v>
          </cell>
          <cell r="J61">
            <v>78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914B0-B2B4-48E5-98EF-5D207C52213A}">
  <dimension ref="A1:K228"/>
  <sheetViews>
    <sheetView tabSelected="1" workbookViewId="0">
      <selection sqref="A1:K61"/>
    </sheetView>
  </sheetViews>
  <sheetFormatPr defaultRowHeight="15" x14ac:dyDescent="0.25"/>
  <cols>
    <col min="1" max="1" width="14.42578125" customWidth="1"/>
    <col min="2" max="2" width="16.42578125" customWidth="1"/>
    <col min="10" max="10" width="15.85546875" customWidth="1"/>
    <col min="11" max="11" width="13.140625" customWidth="1"/>
  </cols>
  <sheetData>
    <row r="1" spans="1:11" s="1" customFormat="1" ht="22.5" customHeight="1" x14ac:dyDescent="0.25">
      <c r="A1" s="2" t="str">
        <f>[1]raw_data!A1</f>
        <v>Student_ID</v>
      </c>
      <c r="B1" s="2" t="str">
        <f>[1]raw_data!B1</f>
        <v>Name</v>
      </c>
      <c r="C1" s="2" t="str">
        <f>[1]raw_data!C1</f>
        <v>Gender</v>
      </c>
      <c r="D1" s="2" t="str">
        <f>[1]raw_data!D1</f>
        <v>Age</v>
      </c>
      <c r="E1" s="2" t="str">
        <f>[1]raw_data!E1</f>
        <v>Class</v>
      </c>
      <c r="F1" s="2" t="str">
        <f>[1]raw_data!F1</f>
        <v>Section</v>
      </c>
      <c r="G1" s="2" t="str">
        <f>[1]raw_data!G1</f>
        <v>Math</v>
      </c>
      <c r="H1" s="2" t="str">
        <f>[1]raw_data!H1</f>
        <v>Science</v>
      </c>
      <c r="I1" s="2" t="str">
        <f>[1]raw_data!I1</f>
        <v>English</v>
      </c>
      <c r="J1" s="2" t="str">
        <f>[1]raw_data!J1</f>
        <v>Attendance_%</v>
      </c>
      <c r="K1" s="2" t="str">
        <f>[1]raw_data!K1</f>
        <v>Phone</v>
      </c>
    </row>
    <row r="2" spans="1:11" x14ac:dyDescent="0.25">
      <c r="A2" t="s">
        <v>59</v>
      </c>
      <c r="B2" t="str">
        <f>PROPER(TRIM([1]raw_data!B2))</f>
        <v>Sneha Kumar</v>
      </c>
      <c r="C2" t="str">
        <f>IF(OR(LOWER(TRIM([1]raw_data!C2))="male",LOWER(TRIM([1]raw_data!C2))="m"),"Male",IF(OR(LOWER(TRIM([1]raw_data!C2))="female",LOWER(TRIM([1]raw_data!C2))="f",LOWER(TRIM([1]raw_data!C2))="fem"),"Female"))</f>
        <v>Male</v>
      </c>
      <c r="D2" t="str">
        <f>IF(TRIM([1]raw_data!D2)=" ","REQ",IF(LOWER(TRIM([1]raw_data!D2))="sixteen",TRIM(16),IF(ISNUMBER(VALUE([1]raw_data!D2)),IF(OR(VALUE([1]raw_data!D2)&lt;10,VALUE([1]raw_data!D2)&gt;=25),TRIM("CHECK"),TRIM(VALUE([1]raw_data!D2))),"FALSE")))</f>
        <v>CHECK</v>
      </c>
      <c r="E2" t="str">
        <f>IF(OR(UPPER(TRIM([1]raw_data!E2))="X",UPPER(TRIM([1]raw_data!E2))="TEN",TRIM([1]raw_data!E2)="10",UPPER(TRIM([1]raw_data!E2))="10TH"),"X","CHECK")</f>
        <v>X</v>
      </c>
      <c r="F2" t="str">
        <f>IF(OR(LOWER(TRIM([1]raw_data!F2))="sec-a",LOWER(TRIM([1]raw_data!F2))="a"),"A",IF(LOWER(TRIM([1]raw_data!F2))="b","B",IF(LOWER(TRIM([1]raw_data!F2))="c","C",[1]raw_data!F2)))</f>
        <v>B</v>
      </c>
      <c r="G2" t="str">
        <f>TRIM(IF(LOWER(TRIM([1]raw_data!G2))="absent","AB",IF(TRIM([1]raw_data!G2)=" ",0,IF(ISNUMBER(VALUE([1]raw_data!G2)),IF(AND(VALUE([1]raw_data!G2)&gt;0,VALUE([1]raw_data!G2)&lt;=100),VALUE([1]raw_data!G2),"0")))))</f>
        <v>AB</v>
      </c>
      <c r="H2" t="str">
        <f>TRIM(IF(LOWER(TRIM([1]raw_data!H2))="na","NA",IF(TRIM([1]raw_data!H2)=" ",0,IF(ISNUMBER(VALUE([1]raw_data!H2)),IF(AND(VALUE([1]raw_data!H2)&gt;0,VALUE([1]raw_data!H2)&lt;=100),VALUE([1]raw_data!H2),"0")))))</f>
        <v>0</v>
      </c>
      <c r="I2" t="str">
        <f>TRIM(IF(LOWER(TRIM([1]raw_data!I2))="n/a","NA",IF(TRIM([1]raw_data!I2)=" ",0,IF(ISNUMBER(VALUE([1]raw_data!I2)),IF(AND(VALUE([1]raw_data!I2)&gt;0,VALUE([1]raw_data!I2)&lt;=100),VALUE([1]raw_data!G2),"0")))))</f>
        <v>0</v>
      </c>
      <c r="J2" t="str">
        <f>IF(TRIM([1]raw_data!J2)="",
"-",
TRIM(IF(VALUE(SUBSTITUTE(TRIM([1]raw_data!J2),"%",""))&gt;100,
"CHECK",
VALUE(SUBSTITUTE([1]raw_data!J2,"%","")))))</f>
        <v>98</v>
      </c>
      <c r="K2" t="str">
        <f>IF(LEN(TRIM(SUBSTITUTE([1]raw_data!K2,CHAR(160),"")))=0,
"REQ",
SUBSTITUTE(SUBSTITUTE([1]raw_data!K2,"-","")," ",""))</f>
        <v>9876543210</v>
      </c>
    </row>
    <row r="3" spans="1:11" x14ac:dyDescent="0.25">
      <c r="A3" t="s">
        <v>58</v>
      </c>
      <c r="B3" t="str">
        <f>PROPER(TRIM([1]raw_data!B3))</f>
        <v>Pooja</v>
      </c>
      <c r="C3" t="str">
        <f>IF(OR(LOWER(TRIM([1]raw_data!C3))="male",LOWER(TRIM([1]raw_data!C3))="m"),"Male",IF(OR(LOWER(TRIM([1]raw_data!C3))="female",LOWER(TRIM([1]raw_data!C3))="f",LOWER(TRIM([1]raw_data!C3))="fem"),"Female"))</f>
        <v>Female</v>
      </c>
      <c r="D3" t="str">
        <f>IF(TRIM([1]raw_data!D3)=" ","REQ",IF(LOWER(TRIM([1]raw_data!D3))="sixteen",TRIM(16),IF(ISNUMBER(VALUE([1]raw_data!D3)),IF(OR(VALUE([1]raw_data!D3)&lt;10,VALUE([1]raw_data!D3)&gt;=25),TRIM("CHECK"),TRIM(VALUE([1]raw_data!D3))),"FALSE")))</f>
        <v>CHECK</v>
      </c>
      <c r="E3" t="str">
        <f>IF(OR(UPPER(TRIM([1]raw_data!E3))="X",UPPER(TRIM([1]raw_data!E3))="TEN",TRIM([1]raw_data!E3)="10",UPPER(TRIM([1]raw_data!E3))="10TH"),"X","CHECK")</f>
        <v>X</v>
      </c>
      <c r="F3" t="str">
        <f>IF(OR(LOWER(TRIM([1]raw_data!F3))="sec-a",LOWER(TRIM([1]raw_data!F3))="a"),"A",IF(LOWER(TRIM([1]raw_data!F3))="b","B",IF(LOWER(TRIM([1]raw_data!F3))="c","C",[1]raw_data!F3)))</f>
        <v>B</v>
      </c>
      <c r="G3" t="str">
        <f>TRIM(IF(LOWER(TRIM([1]raw_data!G3))="absent","AB",IF(TRIM([1]raw_data!G3)=" ",0,IF(ISNUMBER(VALUE([1]raw_data!G3)),IF(AND(VALUE([1]raw_data!G3)&gt;0,VALUE([1]raw_data!G3)&lt;=100),VALUE([1]raw_data!G3),"0")))))</f>
        <v>AB</v>
      </c>
      <c r="H3" t="str">
        <f>TRIM(IF(LOWER(TRIM([1]raw_data!H3))="na","NA",IF(TRIM([1]raw_data!H3)=" ",0,IF(ISNUMBER(VALUE([1]raw_data!H3)),IF(AND(VALUE([1]raw_data!H3)&gt;0,VALUE([1]raw_data!H3)&lt;=100),VALUE([1]raw_data!H3),"0")))))</f>
        <v>NA</v>
      </c>
      <c r="I3" t="str">
        <f>TRIM(IF(LOWER(TRIM([1]raw_data!I3))="n/a","NA",IF(TRIM([1]raw_data!I3)=" ",0,IF(ISNUMBER(VALUE([1]raw_data!I3)),IF(AND(VALUE([1]raw_data!I3)&gt;0,VALUE([1]raw_data!I3)&lt;=100),VALUE([1]raw_data!G3),"0")))))</f>
        <v>0</v>
      </c>
      <c r="J3" t="str">
        <f>IF(TRIM([1]raw_data!J3)="",
"-",
TRIM(IF(VALUE(SUBSTITUTE(TRIM([1]raw_data!J3),"%",""))&gt;100,
"CHECK",
VALUE(SUBSTITUTE([1]raw_data!J3,"%","")))))</f>
        <v>70</v>
      </c>
      <c r="K3" t="str">
        <f>IF(LEN(TRIM(SUBSTITUTE([1]raw_data!K3,CHAR(160),"")))=0,
"REQ",
SUBSTITUTE(SUBSTITUTE([1]raw_data!K3,"-","")," ",""))</f>
        <v>REQ</v>
      </c>
    </row>
    <row r="4" spans="1:11" x14ac:dyDescent="0.25">
      <c r="A4" t="s">
        <v>57</v>
      </c>
      <c r="B4" t="str">
        <f>PROPER(TRIM([1]raw_data!B4))</f>
        <v>Rohan</v>
      </c>
      <c r="C4" t="str">
        <f>IF(OR(LOWER(TRIM([1]raw_data!C4))="male",LOWER(TRIM([1]raw_data!C4))="m"),"Male",IF(OR(LOWER(TRIM([1]raw_data!C4))="female",LOWER(TRIM([1]raw_data!C4))="f",LOWER(TRIM([1]raw_data!C4))="fem"),"Female"))</f>
        <v>Female</v>
      </c>
      <c r="D4" t="str">
        <f>IF(TRIM([1]raw_data!D4)=" ","REQ",IF(LOWER(TRIM([1]raw_data!D4))="sixteen",TRIM(16),IF(ISNUMBER(VALUE([1]raw_data!D4)),IF(OR(VALUE([1]raw_data!D4)&lt;10,VALUE([1]raw_data!D4)&gt;=25),TRIM("CHECK"),TRIM(VALUE([1]raw_data!D4))),"FALSE")))</f>
        <v>CHECK</v>
      </c>
      <c r="E4" t="str">
        <f>IF(OR(UPPER(TRIM([1]raw_data!E4))="X",UPPER(TRIM([1]raw_data!E4))="TEN",TRIM([1]raw_data!E4)="10",UPPER(TRIM([1]raw_data!E4))="10TH"),"X","CHECK")</f>
        <v>X</v>
      </c>
      <c r="F4" t="str">
        <f>IF(OR(LOWER(TRIM([1]raw_data!F4))="sec-a",LOWER(TRIM([1]raw_data!F4))="a"),"A",IF(LOWER(TRIM([1]raw_data!F4))="b","B",IF(LOWER(TRIM([1]raw_data!F4))="c","C",[1]raw_data!F4)))</f>
        <v>C</v>
      </c>
      <c r="G4" t="str">
        <f>TRIM(IF(LOWER(TRIM([1]raw_data!G4))="absent","AB",IF(TRIM([1]raw_data!G4)=" ",0,IF(ISNUMBER(VALUE([1]raw_data!G4)),IF(AND(VALUE([1]raw_data!G4)&gt;0,VALUE([1]raw_data!G4)&lt;=100),VALUE([1]raw_data!G4),"0")))))</f>
        <v>0</v>
      </c>
      <c r="H4" t="str">
        <f>TRIM(IF(LOWER(TRIM([1]raw_data!H4))="na","NA",IF(TRIM([1]raw_data!H4)=" ",0,IF(ISNUMBER(VALUE([1]raw_data!H4)),IF(AND(VALUE([1]raw_data!H4)&gt;0,VALUE([1]raw_data!H4)&lt;=100),VALUE([1]raw_data!H4),"0")))))</f>
        <v>NA</v>
      </c>
      <c r="I4" t="str">
        <f>TRIM(IF(LOWER(TRIM([1]raw_data!I4))="n/a","NA",IF(TRIM([1]raw_data!I4)=" ",0,IF(ISNUMBER(VALUE([1]raw_data!I4)),IF(AND(VALUE([1]raw_data!I4)&gt;0,VALUE([1]raw_data!I4)&lt;=100),VALUE([1]raw_data!G4),"0")))))</f>
        <v>0</v>
      </c>
      <c r="J4" t="str">
        <f>IF(TRIM([1]raw_data!J4)="",
"-",
TRIM(IF(VALUE(SUBSTITUTE(TRIM([1]raw_data!J4),"%",""))&gt;100,
"CHECK",
VALUE(SUBSTITUTE([1]raw_data!J4,"%","")))))</f>
        <v>82</v>
      </c>
      <c r="K4" t="str">
        <f>IF(LEN(TRIM(SUBSTITUTE([1]raw_data!K4,CHAR(160),"")))=0,
"REQ",
SUBSTITUTE(SUBSTITUTE([1]raw_data!K4,"-","")," ",""))</f>
        <v>REQ</v>
      </c>
    </row>
    <row r="5" spans="1:11" x14ac:dyDescent="0.25">
      <c r="A5" t="s">
        <v>56</v>
      </c>
      <c r="B5" t="str">
        <f>PROPER(TRIM([1]raw_data!B5))</f>
        <v>Sneha</v>
      </c>
      <c r="C5" t="str">
        <f>IF(OR(LOWER(TRIM([1]raw_data!C5))="male",LOWER(TRIM([1]raw_data!C5))="m"),"Male",IF(OR(LOWER(TRIM([1]raw_data!C5))="female",LOWER(TRIM([1]raw_data!C5))="f",LOWER(TRIM([1]raw_data!C5))="fem"),"Female"))</f>
        <v>Male</v>
      </c>
      <c r="D5" t="str">
        <f>IF(TRIM([1]raw_data!D5)=" ","REQ",IF(LOWER(TRIM([1]raw_data!D5))="sixteen",TRIM(16),IF(ISNUMBER(VALUE([1]raw_data!D5)),IF(OR(VALUE([1]raw_data!D5)&lt;10,VALUE([1]raw_data!D5)&gt;=25),TRIM("CHECK"),TRIM(VALUE([1]raw_data!D5))),"FALSE")))</f>
        <v>16</v>
      </c>
      <c r="E5" t="str">
        <f>IF(OR(UPPER(TRIM([1]raw_data!E5))="X",UPPER(TRIM([1]raw_data!E5))="TEN",TRIM([1]raw_data!E5)="10",UPPER(TRIM([1]raw_data!E5))="10TH"),"X","CHECK")</f>
        <v>X</v>
      </c>
      <c r="F5" t="str">
        <f>IF(OR(LOWER(TRIM([1]raw_data!F5))="sec-a",LOWER(TRIM([1]raw_data!F5))="a"),"A",IF(LOWER(TRIM([1]raw_data!F5))="b","B",IF(LOWER(TRIM([1]raw_data!F5))="c","C",[1]raw_data!F5)))</f>
        <v>A</v>
      </c>
      <c r="G5" t="str">
        <f>TRIM(IF(LOWER(TRIM([1]raw_data!G5))="absent","AB",IF(TRIM([1]raw_data!G5)=" ",0,IF(ISNUMBER(VALUE([1]raw_data!G5)),IF(AND(VALUE([1]raw_data!G5)&gt;0,VALUE([1]raw_data!G5)&lt;=100),VALUE([1]raw_data!G5),"0")))))</f>
        <v>0</v>
      </c>
      <c r="H5" t="str">
        <f>TRIM(IF(LOWER(TRIM([1]raw_data!H5))="na","NA",IF(TRIM([1]raw_data!H5)=" ",0,IF(ISNUMBER(VALUE([1]raw_data!H5)),IF(AND(VALUE([1]raw_data!H5)&gt;0,VALUE([1]raw_data!H5)&lt;=100),VALUE([1]raw_data!H5),"0")))))</f>
        <v>NA</v>
      </c>
      <c r="I5" t="str">
        <f>TRIM(IF(LOWER(TRIM([1]raw_data!I5))="n/a","NA",IF(TRIM([1]raw_data!I5)=" ",0,IF(ISNUMBER(VALUE([1]raw_data!I5)),IF(AND(VALUE([1]raw_data!I5)&gt;0,VALUE([1]raw_data!I5)&lt;=100),VALUE([1]raw_data!G5),"0")))))</f>
        <v>-5</v>
      </c>
      <c r="J5" t="str">
        <f>IF(TRIM([1]raw_data!J5)="",
"-",
TRIM(IF(VALUE(SUBSTITUTE(TRIM([1]raw_data!J5),"%",""))&gt;100,
"CHECK",
VALUE(SUBSTITUTE([1]raw_data!J5,"%","")))))</f>
        <v>96</v>
      </c>
      <c r="K5" t="str">
        <f>IF(LEN(TRIM(SUBSTITUTE([1]raw_data!K5,CHAR(160),"")))=0,
"REQ",
SUBSTITUTE(SUBSTITUTE([1]raw_data!K5,"-","")," ",""))</f>
        <v>REQ</v>
      </c>
    </row>
    <row r="6" spans="1:11" x14ac:dyDescent="0.25">
      <c r="A6" t="s">
        <v>55</v>
      </c>
      <c r="B6" t="str">
        <f>PROPER(TRIM([1]raw_data!B6))</f>
        <v>Aarav</v>
      </c>
      <c r="C6" t="str">
        <f>IF(OR(LOWER(TRIM([1]raw_data!C6))="male",LOWER(TRIM([1]raw_data!C6))="m"),"Male",IF(OR(LOWER(TRIM([1]raw_data!C6))="female",LOWER(TRIM([1]raw_data!C6))="f",LOWER(TRIM([1]raw_data!C6))="fem"),"Female"))</f>
        <v>Male</v>
      </c>
      <c r="D6" t="str">
        <f>IF(TRIM([1]raw_data!D6)=" ","REQ",IF(LOWER(TRIM([1]raw_data!D6))="sixteen",TRIM(16),IF(ISNUMBER(VALUE([1]raw_data!D6)),IF(OR(VALUE([1]raw_data!D6)&lt;10,VALUE([1]raw_data!D6)&gt;=25),TRIM("CHECK"),TRIM(VALUE([1]raw_data!D6))),"FALSE")))</f>
        <v>CHECK</v>
      </c>
      <c r="E6" t="str">
        <f>IF(OR(UPPER(TRIM([1]raw_data!E6))="X",UPPER(TRIM([1]raw_data!E6))="TEN",TRIM([1]raw_data!E6)="10",UPPER(TRIM([1]raw_data!E6))="10TH"),"X","CHECK")</f>
        <v>X</v>
      </c>
      <c r="F6" t="str">
        <f>IF(OR(LOWER(TRIM([1]raw_data!F6))="sec-a",LOWER(TRIM([1]raw_data!F6))="a"),"A",IF(LOWER(TRIM([1]raw_data!F6))="b","B",IF(LOWER(TRIM([1]raw_data!F6))="c","C",[1]raw_data!F6)))</f>
        <v>A</v>
      </c>
      <c r="G6" t="str">
        <f>TRIM(IF(LOWER(TRIM([1]raw_data!G6))="absent","AB",IF(TRIM([1]raw_data!G6)=" ",0,IF(ISNUMBER(VALUE([1]raw_data!G6)),IF(AND(VALUE([1]raw_data!G6)&gt;0,VALUE([1]raw_data!G6)&lt;=100),VALUE([1]raw_data!G6),"0")))))</f>
        <v>0</v>
      </c>
      <c r="H6" t="str">
        <f>TRIM(IF(LOWER(TRIM([1]raw_data!H6))="na","NA",IF(TRIM([1]raw_data!H6)=" ",0,IF(ISNUMBER(VALUE([1]raw_data!H6)),IF(AND(VALUE([1]raw_data!H6)&gt;0,VALUE([1]raw_data!H6)&lt;=100),VALUE([1]raw_data!H6),"0")))))</f>
        <v>0</v>
      </c>
      <c r="I6" t="str">
        <f>TRIM(IF(LOWER(TRIM([1]raw_data!I6))="n/a","NA",IF(TRIM([1]raw_data!I6)=" ",0,IF(ISNUMBER(VALUE([1]raw_data!I6)),IF(AND(VALUE([1]raw_data!I6)&gt;0,VALUE([1]raw_data!I6)&lt;=100),VALUE([1]raw_data!G6),"0")))))</f>
        <v>NA</v>
      </c>
      <c r="J6" t="str">
        <f>IF(TRIM([1]raw_data!J6)="",
"-",
TRIM(IF(VALUE(SUBSTITUTE(TRIM([1]raw_data!J6),"%",""))&gt;100,
"CHECK",
VALUE(SUBSTITUTE([1]raw_data!J6,"%","")))))</f>
        <v>71</v>
      </c>
      <c r="K6" t="str">
        <f>IF(LEN(TRIM(SUBSTITUTE([1]raw_data!K6,CHAR(160),"")))=0,
"REQ",
SUBSTITUTE(SUBSTITUTE([1]raw_data!K6,"-","")," ",""))</f>
        <v>9876543210</v>
      </c>
    </row>
    <row r="7" spans="1:11" x14ac:dyDescent="0.25">
      <c r="A7" t="s">
        <v>54</v>
      </c>
      <c r="B7" t="str">
        <f>PROPER(TRIM([1]raw_data!B7))</f>
        <v>Rahul</v>
      </c>
      <c r="C7" t="str">
        <f>IF(OR(LOWER(TRIM([1]raw_data!C7))="male",LOWER(TRIM([1]raw_data!C7))="m"),"Male",IF(OR(LOWER(TRIM([1]raw_data!C7))="female",LOWER(TRIM([1]raw_data!C7))="f",LOWER(TRIM([1]raw_data!C7))="fem"),"Female"))</f>
        <v>Male</v>
      </c>
      <c r="D7" t="str">
        <f>IF(TRIM([1]raw_data!D7)=" ","REQ",IF(LOWER(TRIM([1]raw_data!D7))="sixteen",TRIM(16),IF(ISNUMBER(VALUE([1]raw_data!D7)),IF(OR(VALUE([1]raw_data!D7)&lt;10,VALUE([1]raw_data!D7)&gt;=25),TRIM("CHECK"),TRIM(VALUE([1]raw_data!D7))),"FALSE")))</f>
        <v>CHECK</v>
      </c>
      <c r="E7" t="str">
        <f>IF(OR(UPPER(TRIM([1]raw_data!E7))="X",UPPER(TRIM([1]raw_data!E7))="TEN",TRIM([1]raw_data!E7)="10",UPPER(TRIM([1]raw_data!E7))="10TH"),"X","CHECK")</f>
        <v>X</v>
      </c>
      <c r="F7" t="str">
        <f>IF(OR(LOWER(TRIM([1]raw_data!F7))="sec-a",LOWER(TRIM([1]raw_data!F7))="a"),"A",IF(LOWER(TRIM([1]raw_data!F7))="b","B",IF(LOWER(TRIM([1]raw_data!F7))="c","C",[1]raw_data!F7)))</f>
        <v>A</v>
      </c>
      <c r="G7" t="str">
        <f>TRIM(IF(LOWER(TRIM([1]raw_data!G7))="absent","AB",IF(TRIM([1]raw_data!G7)=" ",0,IF(ISNUMBER(VALUE([1]raw_data!G7)),IF(AND(VALUE([1]raw_data!G7)&gt;0,VALUE([1]raw_data!G7)&lt;=100),VALUE([1]raw_data!G7),"0")))))</f>
        <v>AB</v>
      </c>
      <c r="H7" t="str">
        <f>TRIM(IF(LOWER(TRIM([1]raw_data!H7))="na","NA",IF(TRIM([1]raw_data!H7)=" ",0,IF(ISNUMBER(VALUE([1]raw_data!H7)),IF(AND(VALUE([1]raw_data!H7)&gt;0,VALUE([1]raw_data!H7)&lt;=100),VALUE([1]raw_data!H7),"0")))))</f>
        <v>0</v>
      </c>
      <c r="I7" t="str">
        <f>TRIM(IF(LOWER(TRIM([1]raw_data!I7))="n/a","NA",IF(TRIM([1]raw_data!I7)=" ",0,IF(ISNUMBER(VALUE([1]raw_data!I7)),IF(AND(VALUE([1]raw_data!I7)&gt;0,VALUE([1]raw_data!I7)&lt;=100),VALUE([1]raw_data!G7),"0")))))</f>
        <v>0</v>
      </c>
      <c r="J7" t="str">
        <f>IF(TRIM([1]raw_data!J7)="",
"-",
TRIM(IF(VALUE(SUBSTITUTE(TRIM([1]raw_data!J7),"%",""))&gt;100,
"CHECK",
VALUE(SUBSTITUTE([1]raw_data!J7,"%","")))))</f>
        <v>-</v>
      </c>
      <c r="K7" t="str">
        <f>IF(LEN(TRIM(SUBSTITUTE([1]raw_data!K7,CHAR(160),"")))=0,
"REQ",
SUBSTITUTE(SUBSTITUTE([1]raw_data!K7,"-","")," ",""))</f>
        <v>9876543210</v>
      </c>
    </row>
    <row r="8" spans="1:11" x14ac:dyDescent="0.25">
      <c r="A8" t="s">
        <v>53</v>
      </c>
      <c r="B8" t="str">
        <f>PROPER(TRIM([1]raw_data!B8))</f>
        <v>Meera</v>
      </c>
      <c r="C8" t="str">
        <f>IF(OR(LOWER(TRIM([1]raw_data!C8))="male",LOWER(TRIM([1]raw_data!C8))="m"),"Male",IF(OR(LOWER(TRIM([1]raw_data!C8))="female",LOWER(TRIM([1]raw_data!C8))="f",LOWER(TRIM([1]raw_data!C8))="fem"),"Female"))</f>
        <v>Female</v>
      </c>
      <c r="D8" t="str">
        <f>IF(TRIM([1]raw_data!D8)=" ","REQ",IF(LOWER(TRIM([1]raw_data!D8))="sixteen",TRIM(16),IF(ISNUMBER(VALUE([1]raw_data!D8)),IF(OR(VALUE([1]raw_data!D8)&lt;10,VALUE([1]raw_data!D8)&gt;=25),TRIM("CHECK"),TRIM(VALUE([1]raw_data!D8))),"FALSE")))</f>
        <v>15</v>
      </c>
      <c r="E8" t="str">
        <f>IF(OR(UPPER(TRIM([1]raw_data!E8))="X",UPPER(TRIM([1]raw_data!E8))="TEN",TRIM([1]raw_data!E8)="10",UPPER(TRIM([1]raw_data!E8))="10TH"),"X","CHECK")</f>
        <v>X</v>
      </c>
      <c r="F8" t="str">
        <f>IF(OR(LOWER(TRIM([1]raw_data!F8))="sec-a",LOWER(TRIM([1]raw_data!F8))="a"),"A",IF(LOWER(TRIM([1]raw_data!F8))="b","B",IF(LOWER(TRIM([1]raw_data!F8))="c","C",[1]raw_data!F8)))</f>
        <v>A</v>
      </c>
      <c r="G8" t="str">
        <f>TRIM(IF(LOWER(TRIM([1]raw_data!G8))="absent","AB",IF(TRIM([1]raw_data!G8)=" ",0,IF(ISNUMBER(VALUE([1]raw_data!G8)),IF(AND(VALUE([1]raw_data!G8)&gt;0,VALUE([1]raw_data!G8)&lt;=100),VALUE([1]raw_data!G8),"0")))))</f>
        <v>0</v>
      </c>
      <c r="H8" t="str">
        <f>TRIM(IF(LOWER(TRIM([1]raw_data!H8))="na","NA",IF(TRIM([1]raw_data!H8)=" ",0,IF(ISNUMBER(VALUE([1]raw_data!H8)),IF(AND(VALUE([1]raw_data!H8)&gt;0,VALUE([1]raw_data!H8)&lt;=100),VALUE([1]raw_data!H8),"0")))))</f>
        <v>0</v>
      </c>
      <c r="I8" t="str">
        <f>TRIM(IF(LOWER(TRIM([1]raw_data!I8))="n/a","NA",IF(TRIM([1]raw_data!I8)=" ",0,IF(ISNUMBER(VALUE([1]raw_data!I8)),IF(AND(VALUE([1]raw_data!I8)&gt;0,VALUE([1]raw_data!I8)&lt;=100),VALUE([1]raw_data!G8),"0")))))</f>
        <v>NA</v>
      </c>
      <c r="J8" t="str">
        <f>IF(TRIM([1]raw_data!J8)="",
"-",
TRIM(IF(VALUE(SUBSTITUTE(TRIM([1]raw_data!J8),"%",""))&gt;100,
"CHECK",
VALUE(SUBSTITUTE([1]raw_data!J8,"%","")))))</f>
        <v>-</v>
      </c>
      <c r="K8" t="str">
        <f>IF(LEN(TRIM(SUBSTITUTE([1]raw_data!K8,CHAR(160),"")))=0,
"REQ",
SUBSTITUTE(SUBSTITUTE([1]raw_data!K8,"-","")," ",""))</f>
        <v>9876543210</v>
      </c>
    </row>
    <row r="9" spans="1:11" x14ac:dyDescent="0.25">
      <c r="A9" t="s">
        <v>52</v>
      </c>
      <c r="B9" t="str">
        <f>PROPER(TRIM([1]raw_data!B9))</f>
        <v>Aditya</v>
      </c>
      <c r="C9" t="str">
        <f>IF(OR(LOWER(TRIM([1]raw_data!C9))="male",LOWER(TRIM([1]raw_data!C9))="m"),"Male",IF(OR(LOWER(TRIM([1]raw_data!C9))="female",LOWER(TRIM([1]raw_data!C9))="f",LOWER(TRIM([1]raw_data!C9))="fem"),"Female"))</f>
        <v>Female</v>
      </c>
      <c r="D9" t="str">
        <f>IF(TRIM([1]raw_data!D9)=" ","REQ",IF(LOWER(TRIM([1]raw_data!D9))="sixteen",TRIM(16),IF(ISNUMBER(VALUE([1]raw_data!D9)),IF(OR(VALUE([1]raw_data!D9)&lt;10,VALUE([1]raw_data!D9)&gt;=25),TRIM("CHECK"),TRIM(VALUE([1]raw_data!D9))),"FALSE")))</f>
        <v>CHECK</v>
      </c>
      <c r="E9" t="str">
        <f>IF(OR(UPPER(TRIM([1]raw_data!E9))="X",UPPER(TRIM([1]raw_data!E9))="TEN",TRIM([1]raw_data!E9)="10",UPPER(TRIM([1]raw_data!E9))="10TH"),"X","CHECK")</f>
        <v>X</v>
      </c>
      <c r="F9" t="str">
        <f>IF(OR(LOWER(TRIM([1]raw_data!F9))="sec-a",LOWER(TRIM([1]raw_data!F9))="a"),"A",IF(LOWER(TRIM([1]raw_data!F9))="b","B",IF(LOWER(TRIM([1]raw_data!F9))="c","C",[1]raw_data!F9)))</f>
        <v>A</v>
      </c>
      <c r="G9" t="str">
        <f>TRIM(IF(LOWER(TRIM([1]raw_data!G9))="absent","AB",IF(TRIM([1]raw_data!G9)=" ",0,IF(ISNUMBER(VALUE([1]raw_data!G9)),IF(AND(VALUE([1]raw_data!G9)&gt;0,VALUE([1]raw_data!G9)&lt;=100),VALUE([1]raw_data!G9),"0")))))</f>
        <v>0</v>
      </c>
      <c r="H9" t="str">
        <f>TRIM(IF(LOWER(TRIM([1]raw_data!H9))="na","NA",IF(TRIM([1]raw_data!H9)=" ",0,IF(ISNUMBER(VALUE([1]raw_data!H9)),IF(AND(VALUE([1]raw_data!H9)&gt;0,VALUE([1]raw_data!H9)&lt;=100),VALUE([1]raw_data!H9),"0")))))</f>
        <v>0</v>
      </c>
      <c r="I9" t="str">
        <f>TRIM(IF(LOWER(TRIM([1]raw_data!I9))="n/a","NA",IF(TRIM([1]raw_data!I9)=" ",0,IF(ISNUMBER(VALUE([1]raw_data!I9)),IF(AND(VALUE([1]raw_data!I9)&gt;0,VALUE([1]raw_data!I9)&lt;=100),VALUE([1]raw_data!G9),"0")))))</f>
        <v>-5</v>
      </c>
      <c r="J9" t="str">
        <f>IF(TRIM([1]raw_data!J9)="",
"-",
TRIM(IF(VALUE(SUBSTITUTE(TRIM([1]raw_data!J9),"%",""))&gt;100,
"CHECK",
VALUE(SUBSTITUTE([1]raw_data!J9,"%","")))))</f>
        <v>-</v>
      </c>
      <c r="K9" t="str">
        <f>IF(LEN(TRIM(SUBSTITUTE([1]raw_data!K9,CHAR(160),"")))=0,
"REQ",
SUBSTITUTE(SUBSTITUTE([1]raw_data!K9,"-","")," ",""))</f>
        <v>9876543210</v>
      </c>
    </row>
    <row r="10" spans="1:11" x14ac:dyDescent="0.25">
      <c r="A10" t="s">
        <v>51</v>
      </c>
      <c r="B10" t="str">
        <f>PROPER(TRIM([1]raw_data!B10))</f>
        <v>Meera</v>
      </c>
      <c r="C10" t="str">
        <f>IF(OR(LOWER(TRIM([1]raw_data!C10))="male",LOWER(TRIM([1]raw_data!C10))="m"),"Male",IF(OR(LOWER(TRIM([1]raw_data!C10))="female",LOWER(TRIM([1]raw_data!C10))="f",LOWER(TRIM([1]raw_data!C10))="fem"),"Female"))</f>
        <v>Female</v>
      </c>
      <c r="D10" t="str">
        <f>IF(TRIM([1]raw_data!D10)=" ","REQ",IF(LOWER(TRIM([1]raw_data!D10))="sixteen",TRIM(16),IF(ISNUMBER(VALUE([1]raw_data!D10)),IF(OR(VALUE([1]raw_data!D10)&lt;10,VALUE([1]raw_data!D10)&gt;=25),TRIM("CHECK"),TRIM(VALUE([1]raw_data!D10))),"FALSE")))</f>
        <v>14</v>
      </c>
      <c r="E10" t="str">
        <f>IF(OR(UPPER(TRIM([1]raw_data!E10))="X",UPPER(TRIM([1]raw_data!E10))="TEN",TRIM([1]raw_data!E10)="10",UPPER(TRIM([1]raw_data!E10))="10TH"),"X","CHECK")</f>
        <v>X</v>
      </c>
      <c r="F10" t="str">
        <f>IF(OR(LOWER(TRIM([1]raw_data!F10))="sec-a",LOWER(TRIM([1]raw_data!F10))="a"),"A",IF(LOWER(TRIM([1]raw_data!F10))="b","B",IF(LOWER(TRIM([1]raw_data!F10))="c","C",[1]raw_data!F10)))</f>
        <v>A</v>
      </c>
      <c r="G10" t="str">
        <f>TRIM(IF(LOWER(TRIM([1]raw_data!G10))="absent","AB",IF(TRIM([1]raw_data!G10)=" ",0,IF(ISNUMBER(VALUE([1]raw_data!G10)),IF(AND(VALUE([1]raw_data!G10)&gt;0,VALUE([1]raw_data!G10)&lt;=100),VALUE([1]raw_data!G10),"0")))))</f>
        <v>0</v>
      </c>
      <c r="H10" t="str">
        <f>TRIM(IF(LOWER(TRIM([1]raw_data!H10))="na","NA",IF(TRIM([1]raw_data!H10)=" ",0,IF(ISNUMBER(VALUE([1]raw_data!H10)),IF(AND(VALUE([1]raw_data!H10)&gt;0,VALUE([1]raw_data!H10)&lt;=100),VALUE([1]raw_data!H10),"0")))))</f>
        <v>0</v>
      </c>
      <c r="I10" t="str">
        <f>TRIM(IF(LOWER(TRIM([1]raw_data!I10))="n/a","NA",IF(TRIM([1]raw_data!I10)=" ",0,IF(ISNUMBER(VALUE([1]raw_data!I10)),IF(AND(VALUE([1]raw_data!I10)&gt;0,VALUE([1]raw_data!I10)&lt;=100),VALUE([1]raw_data!G10),"0")))))</f>
        <v>0</v>
      </c>
      <c r="J10" t="str">
        <f>IF(TRIM([1]raw_data!J10)="",
"-",
TRIM(IF(VALUE(SUBSTITUTE(TRIM([1]raw_data!J10),"%",""))&gt;100,
"CHECK",
VALUE(SUBSTITUTE([1]raw_data!J10,"%","")))))</f>
        <v>77</v>
      </c>
      <c r="K10" t="str">
        <f>IF(LEN(TRIM(SUBSTITUTE([1]raw_data!K10,CHAR(160),"")))=0,
"REQ",
SUBSTITUTE(SUBSTITUTE([1]raw_data!K10,"-","")," ",""))</f>
        <v>9876543210</v>
      </c>
    </row>
    <row r="11" spans="1:11" x14ac:dyDescent="0.25">
      <c r="A11" t="s">
        <v>50</v>
      </c>
      <c r="B11" t="str">
        <f>PROPER(TRIM([1]raw_data!B11))</f>
        <v>Meera</v>
      </c>
      <c r="C11" t="str">
        <f>IF(OR(LOWER(TRIM([1]raw_data!C11))="male",LOWER(TRIM([1]raw_data!C11))="m"),"Male",IF(OR(LOWER(TRIM([1]raw_data!C11))="female",LOWER(TRIM([1]raw_data!C11))="f",LOWER(TRIM([1]raw_data!C11))="fem"),"Female"))</f>
        <v>Male</v>
      </c>
      <c r="D11" t="str">
        <f>IF(TRIM([1]raw_data!D11)=" ","REQ",IF(LOWER(TRIM([1]raw_data!D11))="sixteen",TRIM(16),IF(ISNUMBER(VALUE([1]raw_data!D11)),IF(OR(VALUE([1]raw_data!D11)&lt;10,VALUE([1]raw_data!D11)&gt;=25),TRIM("CHECK"),TRIM(VALUE([1]raw_data!D11))),"FALSE")))</f>
        <v>16</v>
      </c>
      <c r="E11" t="str">
        <f>IF(OR(UPPER(TRIM([1]raw_data!E11))="X",UPPER(TRIM([1]raw_data!E11))="TEN",TRIM([1]raw_data!E11)="10",UPPER(TRIM([1]raw_data!E11))="10TH"),"X","CHECK")</f>
        <v>X</v>
      </c>
      <c r="F11" t="str">
        <f>IF(OR(LOWER(TRIM([1]raw_data!F11))="sec-a",LOWER(TRIM([1]raw_data!F11))="a"),"A",IF(LOWER(TRIM([1]raw_data!F11))="b","B",IF(LOWER(TRIM([1]raw_data!F11))="c","C",[1]raw_data!F11)))</f>
        <v>C</v>
      </c>
      <c r="G11" t="str">
        <f>TRIM(IF(LOWER(TRIM([1]raw_data!G11))="absent","AB",IF(TRIM([1]raw_data!G11)=" ",0,IF(ISNUMBER(VALUE([1]raw_data!G11)),IF(AND(VALUE([1]raw_data!G11)&gt;0,VALUE([1]raw_data!G11)&lt;=100),VALUE([1]raw_data!G11),"0")))))</f>
        <v>0</v>
      </c>
      <c r="H11" t="str">
        <f>TRIM(IF(LOWER(TRIM([1]raw_data!H11))="na","NA",IF(TRIM([1]raw_data!H11)=" ",0,IF(ISNUMBER(VALUE([1]raw_data!H11)),IF(AND(VALUE([1]raw_data!H11)&gt;0,VALUE([1]raw_data!H11)&lt;=100),VALUE([1]raw_data!H11),"0")))))</f>
        <v>0</v>
      </c>
      <c r="I11" t="str">
        <f>TRIM(IF(LOWER(TRIM([1]raw_data!I11))="n/a","NA",IF(TRIM([1]raw_data!I11)=" ",0,IF(ISNUMBER(VALUE([1]raw_data!I11)),IF(AND(VALUE([1]raw_data!I11)&gt;0,VALUE([1]raw_data!I11)&lt;=100),VALUE([1]raw_data!G11),"0")))))</f>
        <v>NA</v>
      </c>
      <c r="J11" t="str">
        <f>IF(TRIM([1]raw_data!J11)="",
"-",
TRIM(IF(VALUE(SUBSTITUTE(TRIM([1]raw_data!J11),"%",""))&gt;100,
"CHECK",
VALUE(SUBSTITUTE([1]raw_data!J11,"%","")))))</f>
        <v>66</v>
      </c>
      <c r="K11" t="str">
        <f>IF(LEN(TRIM(SUBSTITUTE([1]raw_data!K11,CHAR(160),"")))=0,
"REQ",
SUBSTITUTE(SUBSTITUTE([1]raw_data!K11,"-","")," ",""))</f>
        <v>REQ</v>
      </c>
    </row>
    <row r="12" spans="1:11" x14ac:dyDescent="0.25">
      <c r="A12" t="s">
        <v>49</v>
      </c>
      <c r="B12" t="str">
        <f>PROPER(TRIM([1]raw_data!B12))</f>
        <v>Aarav</v>
      </c>
      <c r="C12" t="str">
        <f>IF(OR(LOWER(TRIM([1]raw_data!C12))="male",LOWER(TRIM([1]raw_data!C12))="m"),"Male",IF(OR(LOWER(TRIM([1]raw_data!C12))="female",LOWER(TRIM([1]raw_data!C12))="f",LOWER(TRIM([1]raw_data!C12))="fem"),"Female"))</f>
        <v>Male</v>
      </c>
      <c r="D12" t="str">
        <f>IF(TRIM([1]raw_data!D12)=" ","REQ",IF(LOWER(TRIM([1]raw_data!D12))="sixteen",TRIM(16),IF(ISNUMBER(VALUE([1]raw_data!D12)),IF(OR(VALUE([1]raw_data!D12)&lt;10,VALUE([1]raw_data!D12)&gt;=25),TRIM("CHECK"),TRIM(VALUE([1]raw_data!D12))),"FALSE")))</f>
        <v>16</v>
      </c>
      <c r="E12" t="str">
        <f>IF(OR(UPPER(TRIM([1]raw_data!E12))="X",UPPER(TRIM([1]raw_data!E12))="TEN",TRIM([1]raw_data!E12)="10",UPPER(TRIM([1]raw_data!E12))="10TH"),"X","CHECK")</f>
        <v>X</v>
      </c>
      <c r="F12" t="str">
        <f>IF(OR(LOWER(TRIM([1]raw_data!F12))="sec-a",LOWER(TRIM([1]raw_data!F12))="a"),"A",IF(LOWER(TRIM([1]raw_data!F12))="b","B",IF(LOWER(TRIM([1]raw_data!F12))="c","C",[1]raw_data!F12)))</f>
        <v>B</v>
      </c>
      <c r="G12" t="str">
        <f>TRIM(IF(LOWER(TRIM([1]raw_data!G12))="absent","AB",IF(TRIM([1]raw_data!G12)=" ",0,IF(ISNUMBER(VALUE([1]raw_data!G12)),IF(AND(VALUE([1]raw_data!G12)&gt;0,VALUE([1]raw_data!G12)&lt;=100),VALUE([1]raw_data!G12),"0")))))</f>
        <v>0</v>
      </c>
      <c r="H12" t="str">
        <f>TRIM(IF(LOWER(TRIM([1]raw_data!H12))="na","NA",IF(TRIM([1]raw_data!H12)=" ",0,IF(ISNUMBER(VALUE([1]raw_data!H12)),IF(AND(VALUE([1]raw_data!H12)&gt;0,VALUE([1]raw_data!H12)&lt;=100),VALUE([1]raw_data!H12),"0")))))</f>
        <v>46</v>
      </c>
      <c r="I12" t="str">
        <f>TRIM(IF(LOWER(TRIM([1]raw_data!I12))="n/a","NA",IF(TRIM([1]raw_data!I12)=" ",0,IF(ISNUMBER(VALUE([1]raw_data!I12)),IF(AND(VALUE([1]raw_data!I12)&gt;0,VALUE([1]raw_data!I12)&lt;=100),VALUE([1]raw_data!G12),"0")))))</f>
        <v>0</v>
      </c>
      <c r="J12" t="str">
        <f>IF(TRIM([1]raw_data!J12)="",
"-",
TRIM(IF(VALUE(SUBSTITUTE(TRIM([1]raw_data!J12),"%",""))&gt;100,
"CHECK",
VALUE(SUBSTITUTE([1]raw_data!J12,"%","")))))</f>
        <v>-</v>
      </c>
      <c r="K12" t="str">
        <f>IF(LEN(TRIM(SUBSTITUTE([1]raw_data!K12,CHAR(160),"")))=0,
"REQ",
SUBSTITUTE(SUBSTITUTE([1]raw_data!K12,"-","")," ",""))</f>
        <v>9876543210</v>
      </c>
    </row>
    <row r="13" spans="1:11" x14ac:dyDescent="0.25">
      <c r="A13" t="s">
        <v>48</v>
      </c>
      <c r="B13" t="str">
        <f>PROPER(TRIM([1]raw_data!B13))</f>
        <v>Vivaan</v>
      </c>
      <c r="C13" t="str">
        <f>IF(OR(LOWER(TRIM([1]raw_data!C13))="male",LOWER(TRIM([1]raw_data!C13))="m"),"Male",IF(OR(LOWER(TRIM([1]raw_data!C13))="female",LOWER(TRIM([1]raw_data!C13))="f",LOWER(TRIM([1]raw_data!C13))="fem"),"Female"))</f>
        <v>Female</v>
      </c>
      <c r="D13" t="str">
        <f>IF(TRIM([1]raw_data!D13)=" ","REQ",IF(LOWER(TRIM([1]raw_data!D13))="sixteen",TRIM(16),IF(ISNUMBER(VALUE([1]raw_data!D13)),IF(OR(VALUE([1]raw_data!D13)&lt;10,VALUE([1]raw_data!D13)&gt;=25),TRIM("CHECK"),TRIM(VALUE([1]raw_data!D13))),"FALSE")))</f>
        <v>CHECK</v>
      </c>
      <c r="E13" t="str">
        <f>IF(OR(UPPER(TRIM([1]raw_data!E13))="X",UPPER(TRIM([1]raw_data!E13))="TEN",TRIM([1]raw_data!E13)="10",UPPER(TRIM([1]raw_data!E13))="10TH"),"X","CHECK")</f>
        <v>X</v>
      </c>
      <c r="F13" t="str">
        <f>IF(OR(LOWER(TRIM([1]raw_data!F13))="sec-a",LOWER(TRIM([1]raw_data!F13))="a"),"A",IF(LOWER(TRIM([1]raw_data!F13))="b","B",IF(LOWER(TRIM([1]raw_data!F13))="c","C",[1]raw_data!F13)))</f>
        <v>B</v>
      </c>
      <c r="G13" t="str">
        <f>TRIM(IF(LOWER(TRIM([1]raw_data!G13))="absent","AB",IF(TRIM([1]raw_data!G13)=" ",0,IF(ISNUMBER(VALUE([1]raw_data!G13)),IF(AND(VALUE([1]raw_data!G13)&gt;0,VALUE([1]raw_data!G13)&lt;=100),VALUE([1]raw_data!G13),"0")))))</f>
        <v>92</v>
      </c>
      <c r="H13" t="str">
        <f>TRIM(IF(LOWER(TRIM([1]raw_data!H13))="na","NA",IF(TRIM([1]raw_data!H13)=" ",0,IF(ISNUMBER(VALUE([1]raw_data!H13)),IF(AND(VALUE([1]raw_data!H13)&gt;0,VALUE([1]raw_data!H13)&lt;=100),VALUE([1]raw_data!H13),"0")))))</f>
        <v>0</v>
      </c>
      <c r="I13" t="str">
        <f>TRIM(IF(LOWER(TRIM([1]raw_data!I13))="n/a","NA",IF(TRIM([1]raw_data!I13)=" ",0,IF(ISNUMBER(VALUE([1]raw_data!I13)),IF(AND(VALUE([1]raw_data!I13)&gt;0,VALUE([1]raw_data!I13)&lt;=100),VALUE([1]raw_data!G13),"0")))))</f>
        <v>0</v>
      </c>
      <c r="J13" t="str">
        <f>IF(TRIM([1]raw_data!J13)="",
"-",
TRIM(IF(VALUE(SUBSTITUTE(TRIM([1]raw_data!J13),"%",""))&gt;100,
"CHECK",
VALUE(SUBSTITUTE([1]raw_data!J13,"%","")))))</f>
        <v>86</v>
      </c>
      <c r="K13" t="str">
        <f>IF(LEN(TRIM(SUBSTITUTE([1]raw_data!K13,CHAR(160),"")))=0,
"REQ",
SUBSTITUTE(SUBSTITUTE([1]raw_data!K13,"-","")," ",""))</f>
        <v>REQ</v>
      </c>
    </row>
    <row r="14" spans="1:11" x14ac:dyDescent="0.25">
      <c r="A14" t="s">
        <v>47</v>
      </c>
      <c r="B14" t="str">
        <f>PROPER(TRIM([1]raw_data!B14))</f>
        <v>Ananya</v>
      </c>
      <c r="C14" t="str">
        <f>IF(OR(LOWER(TRIM([1]raw_data!C14))="male",LOWER(TRIM([1]raw_data!C14))="m"),"Male",IF(OR(LOWER(TRIM([1]raw_data!C14))="female",LOWER(TRIM([1]raw_data!C14))="f",LOWER(TRIM([1]raw_data!C14))="fem"),"Female"))</f>
        <v>Male</v>
      </c>
      <c r="D14" t="str">
        <f>IF(TRIM([1]raw_data!D14)=" ","REQ",IF(LOWER(TRIM([1]raw_data!D14))="sixteen",TRIM(16),IF(ISNUMBER(VALUE([1]raw_data!D14)),IF(OR(VALUE([1]raw_data!D14)&lt;10,VALUE([1]raw_data!D14)&gt;=25),TRIM("CHECK"),TRIM(VALUE([1]raw_data!D14))),"FALSE")))</f>
        <v>15</v>
      </c>
      <c r="E14" t="str">
        <f>IF(OR(UPPER(TRIM([1]raw_data!E14))="X",UPPER(TRIM([1]raw_data!E14))="TEN",TRIM([1]raw_data!E14)="10",UPPER(TRIM([1]raw_data!E14))="10TH"),"X","CHECK")</f>
        <v>X</v>
      </c>
      <c r="F14" t="str">
        <f>IF(OR(LOWER(TRIM([1]raw_data!F14))="sec-a",LOWER(TRIM([1]raw_data!F14))="a"),"A",IF(LOWER(TRIM([1]raw_data!F14))="b","B",IF(LOWER(TRIM([1]raw_data!F14))="c","C",[1]raw_data!F14)))</f>
        <v>B</v>
      </c>
      <c r="G14" t="str">
        <f>TRIM(IF(LOWER(TRIM([1]raw_data!G14))="absent","AB",IF(TRIM([1]raw_data!G14)=" ",0,IF(ISNUMBER(VALUE([1]raw_data!G14)),IF(AND(VALUE([1]raw_data!G14)&gt;0,VALUE([1]raw_data!G14)&lt;=100),VALUE([1]raw_data!G14),"0")))))</f>
        <v>AB</v>
      </c>
      <c r="H14" t="str">
        <f>TRIM(IF(LOWER(TRIM([1]raw_data!H14))="na","NA",IF(TRIM([1]raw_data!H14)=" ",0,IF(ISNUMBER(VALUE([1]raw_data!H14)),IF(AND(VALUE([1]raw_data!H14)&gt;0,VALUE([1]raw_data!H14)&lt;=100),VALUE([1]raw_data!H14),"0")))))</f>
        <v>0</v>
      </c>
      <c r="I14" t="str">
        <f>TRIM(IF(LOWER(TRIM([1]raw_data!I14))="n/a","NA",IF(TRIM([1]raw_data!I14)=" ",0,IF(ISNUMBER(VALUE([1]raw_data!I14)),IF(AND(VALUE([1]raw_data!I14)&gt;0,VALUE([1]raw_data!I14)&lt;=100),VALUE([1]raw_data!G14),"0")))))</f>
        <v>0</v>
      </c>
      <c r="J14" t="str">
        <f>IF(TRIM([1]raw_data!J14)="",
"-",
TRIM(IF(VALUE(SUBSTITUTE(TRIM([1]raw_data!J14),"%",""))&gt;100,
"CHECK",
VALUE(SUBSTITUTE([1]raw_data!J14,"%","")))))</f>
        <v>79</v>
      </c>
      <c r="K14" t="str">
        <f>IF(LEN(TRIM(SUBSTITUTE([1]raw_data!K14,CHAR(160),"")))=0,
"REQ",
SUBSTITUTE(SUBSTITUTE([1]raw_data!K14,"-","")," ",""))</f>
        <v>9876543210</v>
      </c>
    </row>
    <row r="15" spans="1:11" x14ac:dyDescent="0.25">
      <c r="A15" t="s">
        <v>46</v>
      </c>
      <c r="B15" t="str">
        <f>PROPER(TRIM([1]raw_data!B15))</f>
        <v>Kabir</v>
      </c>
      <c r="C15" t="str">
        <f>IF(OR(LOWER(TRIM([1]raw_data!C15))="male",LOWER(TRIM([1]raw_data!C15))="m"),"Male",IF(OR(LOWER(TRIM([1]raw_data!C15))="female",LOWER(TRIM([1]raw_data!C15))="f",LOWER(TRIM([1]raw_data!C15))="fem"),"Female"))</f>
        <v>Female</v>
      </c>
      <c r="D15" t="str">
        <f>IF(TRIM([1]raw_data!D15)=" ","REQ",IF(LOWER(TRIM([1]raw_data!D15))="sixteen",TRIM(16),IF(ISNUMBER(VALUE([1]raw_data!D15)),IF(OR(VALUE([1]raw_data!D15)&lt;10,VALUE([1]raw_data!D15)&gt;=25),TRIM("CHECK"),TRIM(VALUE([1]raw_data!D15))),"FALSE")))</f>
        <v>16</v>
      </c>
      <c r="E15" t="str">
        <f>IF(OR(UPPER(TRIM([1]raw_data!E15))="X",UPPER(TRIM([1]raw_data!E15))="TEN",TRIM([1]raw_data!E15)="10",UPPER(TRIM([1]raw_data!E15))="10TH"),"X","CHECK")</f>
        <v>X</v>
      </c>
      <c r="F15" t="str">
        <f>IF(OR(LOWER(TRIM([1]raw_data!F15))="sec-a",LOWER(TRIM([1]raw_data!F15))="a"),"A",IF(LOWER(TRIM([1]raw_data!F15))="b","B",IF(LOWER(TRIM([1]raw_data!F15))="c","C",[1]raw_data!F15)))</f>
        <v>A</v>
      </c>
      <c r="G15" t="str">
        <f>TRIM(IF(LOWER(TRIM([1]raw_data!G15))="absent","AB",IF(TRIM([1]raw_data!G15)=" ",0,IF(ISNUMBER(VALUE([1]raw_data!G15)),IF(AND(VALUE([1]raw_data!G15)&gt;0,VALUE([1]raw_data!G15)&lt;=100),VALUE([1]raw_data!G15),"0")))))</f>
        <v>0</v>
      </c>
      <c r="H15" t="str">
        <f>TRIM(IF(LOWER(TRIM([1]raw_data!H15))="na","NA",IF(TRIM([1]raw_data!H15)=" ",0,IF(ISNUMBER(VALUE([1]raw_data!H15)),IF(AND(VALUE([1]raw_data!H15)&gt;0,VALUE([1]raw_data!H15)&lt;=100),VALUE([1]raw_data!H15),"0")))))</f>
        <v>NA</v>
      </c>
      <c r="I15" t="str">
        <f>TRIM(IF(LOWER(TRIM([1]raw_data!I15))="n/a","NA",IF(TRIM([1]raw_data!I15)=" ",0,IF(ISNUMBER(VALUE([1]raw_data!I15)),IF(AND(VALUE([1]raw_data!I15)&gt;0,VALUE([1]raw_data!I15)&lt;=100),VALUE([1]raw_data!G15),"0")))))</f>
        <v>0</v>
      </c>
      <c r="J15" t="str">
        <f>IF(TRIM([1]raw_data!J15)="",
"-",
TRIM(IF(VALUE(SUBSTITUTE(TRIM([1]raw_data!J15),"%",""))&gt;100,
"CHECK",
VALUE(SUBSTITUTE([1]raw_data!J15,"%","")))))</f>
        <v>-</v>
      </c>
      <c r="K15" t="str">
        <f>IF(LEN(TRIM(SUBSTITUTE([1]raw_data!K15,CHAR(160),"")))=0,
"REQ",
SUBSTITUTE(SUBSTITUTE([1]raw_data!K15,"-","")," ",""))</f>
        <v>REQ</v>
      </c>
    </row>
    <row r="16" spans="1:11" x14ac:dyDescent="0.25">
      <c r="A16" t="s">
        <v>45</v>
      </c>
      <c r="B16" t="str">
        <f>PROPER(TRIM([1]raw_data!B16))</f>
        <v>Rohan</v>
      </c>
      <c r="C16" t="str">
        <f>IF(OR(LOWER(TRIM([1]raw_data!C16))="male",LOWER(TRIM([1]raw_data!C16))="m"),"Male",IF(OR(LOWER(TRIM([1]raw_data!C16))="female",LOWER(TRIM([1]raw_data!C16))="f",LOWER(TRIM([1]raw_data!C16))="fem"),"Female"))</f>
        <v>Male</v>
      </c>
      <c r="D16" t="str">
        <f>IF(TRIM([1]raw_data!D16)=" ","REQ",IF(LOWER(TRIM([1]raw_data!D16))="sixteen",TRIM(16),IF(ISNUMBER(VALUE([1]raw_data!D16)),IF(OR(VALUE([1]raw_data!D16)&lt;10,VALUE([1]raw_data!D16)&gt;=25),TRIM("CHECK"),TRIM(VALUE([1]raw_data!D16))),"FALSE")))</f>
        <v>CHECK</v>
      </c>
      <c r="E16" t="str">
        <f>IF(OR(UPPER(TRIM([1]raw_data!E16))="X",UPPER(TRIM([1]raw_data!E16))="TEN",TRIM([1]raw_data!E16)="10",UPPER(TRIM([1]raw_data!E16))="10TH"),"X","CHECK")</f>
        <v>X</v>
      </c>
      <c r="F16" t="str">
        <f>IF(OR(LOWER(TRIM([1]raw_data!F16))="sec-a",LOWER(TRIM([1]raw_data!F16))="a"),"A",IF(LOWER(TRIM([1]raw_data!F16))="b","B",IF(LOWER(TRIM([1]raw_data!F16))="c","C",[1]raw_data!F16)))</f>
        <v>C</v>
      </c>
      <c r="G16" t="str">
        <f>TRIM(IF(LOWER(TRIM([1]raw_data!G16))="absent","AB",IF(TRIM([1]raw_data!G16)=" ",0,IF(ISNUMBER(VALUE([1]raw_data!G16)),IF(AND(VALUE([1]raw_data!G16)&gt;0,VALUE([1]raw_data!G16)&lt;=100),VALUE([1]raw_data!G16),"0")))))</f>
        <v>84</v>
      </c>
      <c r="H16" t="str">
        <f>TRIM(IF(LOWER(TRIM([1]raw_data!H16))="na","NA",IF(TRIM([1]raw_data!H16)=" ",0,IF(ISNUMBER(VALUE([1]raw_data!H16)),IF(AND(VALUE([1]raw_data!H16)&gt;0,VALUE([1]raw_data!H16)&lt;=100),VALUE([1]raw_data!H16),"0")))))</f>
        <v>0</v>
      </c>
      <c r="I16" t="str">
        <f>TRIM(IF(LOWER(TRIM([1]raw_data!I16))="n/a","NA",IF(TRIM([1]raw_data!I16)=" ",0,IF(ISNUMBER(VALUE([1]raw_data!I16)),IF(AND(VALUE([1]raw_data!I16)&gt;0,VALUE([1]raw_data!I16)&lt;=100),VALUE([1]raw_data!G16),"0")))))</f>
        <v>NA</v>
      </c>
      <c r="J16" t="str">
        <f>IF(TRIM([1]raw_data!J16)="",
"-",
TRIM(IF(VALUE(SUBSTITUTE(TRIM([1]raw_data!J16),"%",""))&gt;100,
"CHECK",
VALUE(SUBSTITUTE([1]raw_data!J16,"%","")))))</f>
        <v>-</v>
      </c>
      <c r="K16" t="str">
        <f>IF(LEN(TRIM(SUBSTITUTE([1]raw_data!K16,CHAR(160),"")))=0,
"REQ",
SUBSTITUTE(SUBSTITUTE([1]raw_data!K16,"-","")," ",""))</f>
        <v>9876543210</v>
      </c>
    </row>
    <row r="17" spans="1:11" x14ac:dyDescent="0.25">
      <c r="A17" t="s">
        <v>44</v>
      </c>
      <c r="B17" t="str">
        <f>PROPER(TRIM([1]raw_data!B17))</f>
        <v>Vivaan</v>
      </c>
      <c r="C17" t="str">
        <f>IF(OR(LOWER(TRIM([1]raw_data!C17))="male",LOWER(TRIM([1]raw_data!C17))="m"),"Male",IF(OR(LOWER(TRIM([1]raw_data!C17))="female",LOWER(TRIM([1]raw_data!C17))="f",LOWER(TRIM([1]raw_data!C17))="fem"),"Female"))</f>
        <v>Male</v>
      </c>
      <c r="D17" t="str">
        <f>IF(TRIM([1]raw_data!D17)=" ","REQ",IF(LOWER(TRIM([1]raw_data!D17))="sixteen",TRIM(16),IF(ISNUMBER(VALUE([1]raw_data!D17)),IF(OR(VALUE([1]raw_data!D17)&lt;10,VALUE([1]raw_data!D17)&gt;=25),TRIM("CHECK"),TRIM(VALUE([1]raw_data!D17))),"FALSE")))</f>
        <v>18</v>
      </c>
      <c r="E17" t="str">
        <f>IF(OR(UPPER(TRIM([1]raw_data!E17))="X",UPPER(TRIM([1]raw_data!E17))="TEN",TRIM([1]raw_data!E17)="10",UPPER(TRIM([1]raw_data!E17))="10TH"),"X","CHECK")</f>
        <v>X</v>
      </c>
      <c r="F17" t="str">
        <f>IF(OR(LOWER(TRIM([1]raw_data!F17))="sec-a",LOWER(TRIM([1]raw_data!F17))="a"),"A",IF(LOWER(TRIM([1]raw_data!F17))="b","B",IF(LOWER(TRIM([1]raw_data!F17))="c","C",[1]raw_data!F17)))</f>
        <v>B</v>
      </c>
      <c r="G17" t="str">
        <f>TRIM(IF(LOWER(TRIM([1]raw_data!G17))="absent","AB",IF(TRIM([1]raw_data!G17)=" ",0,IF(ISNUMBER(VALUE([1]raw_data!G17)),IF(AND(VALUE([1]raw_data!G17)&gt;0,VALUE([1]raw_data!G17)&lt;=100),VALUE([1]raw_data!G17),"0")))))</f>
        <v>50</v>
      </c>
      <c r="H17" t="str">
        <f>TRIM(IF(LOWER(TRIM([1]raw_data!H17))="na","NA",IF(TRIM([1]raw_data!H17)=" ",0,IF(ISNUMBER(VALUE([1]raw_data!H17)),IF(AND(VALUE([1]raw_data!H17)&gt;0,VALUE([1]raw_data!H17)&lt;=100),VALUE([1]raw_data!H17),"0")))))</f>
        <v>37</v>
      </c>
      <c r="I17" t="str">
        <f>TRIM(IF(LOWER(TRIM([1]raw_data!I17))="n/a","NA",IF(TRIM([1]raw_data!I17)=" ",0,IF(ISNUMBER(VALUE([1]raw_data!I17)),IF(AND(VALUE([1]raw_data!I17)&gt;0,VALUE([1]raw_data!I17)&lt;=100),VALUE([1]raw_data!G17),"0")))))</f>
        <v>50</v>
      </c>
      <c r="J17" t="str">
        <f>IF(TRIM([1]raw_data!J17)="",
"-",
TRIM(IF(VALUE(SUBSTITUTE(TRIM([1]raw_data!J17),"%",""))&gt;100,
"CHECK",
VALUE(SUBSTITUTE([1]raw_data!J17,"%","")))))</f>
        <v>63</v>
      </c>
      <c r="K17" t="str">
        <f>IF(LEN(TRIM(SUBSTITUTE([1]raw_data!K17,CHAR(160),"")))=0,
"REQ",
SUBSTITUTE(SUBSTITUTE([1]raw_data!K17,"-","")," ",""))</f>
        <v>9876543210</v>
      </c>
    </row>
    <row r="18" spans="1:11" x14ac:dyDescent="0.25">
      <c r="A18" t="s">
        <v>43</v>
      </c>
      <c r="B18" t="str">
        <f>PROPER(TRIM([1]raw_data!B18))</f>
        <v>Diya Kumar</v>
      </c>
      <c r="C18" t="str">
        <f>IF(OR(LOWER(TRIM([1]raw_data!C18))="male",LOWER(TRIM([1]raw_data!C18))="m"),"Male",IF(OR(LOWER(TRIM([1]raw_data!C18))="female",LOWER(TRIM([1]raw_data!C18))="f",LOWER(TRIM([1]raw_data!C18))="fem"),"Female"))</f>
        <v>Male</v>
      </c>
      <c r="D18" t="str">
        <f>IF(TRIM([1]raw_data!D18)=" ","REQ",IF(LOWER(TRIM([1]raw_data!D18))="sixteen",TRIM(16),IF(ISNUMBER(VALUE([1]raw_data!D18)),IF(OR(VALUE([1]raw_data!D18)&lt;10,VALUE([1]raw_data!D18)&gt;=25),TRIM("CHECK"),TRIM(VALUE([1]raw_data!D18))),"FALSE")))</f>
        <v>16</v>
      </c>
      <c r="E18" t="str">
        <f>IF(OR(UPPER(TRIM([1]raw_data!E18))="X",UPPER(TRIM([1]raw_data!E18))="TEN",TRIM([1]raw_data!E18)="10",UPPER(TRIM([1]raw_data!E18))="10TH"),"X","CHECK")</f>
        <v>X</v>
      </c>
      <c r="F18" t="str">
        <f>IF(OR(LOWER(TRIM([1]raw_data!F18))="sec-a",LOWER(TRIM([1]raw_data!F18))="a"),"A",IF(LOWER(TRIM([1]raw_data!F18))="b","B",IF(LOWER(TRIM([1]raw_data!F18))="c","C",[1]raw_data!F18)))</f>
        <v>A</v>
      </c>
      <c r="G18" t="str">
        <f>TRIM(IF(LOWER(TRIM([1]raw_data!G18))="absent","AB",IF(TRIM([1]raw_data!G18)=" ",0,IF(ISNUMBER(VALUE([1]raw_data!G18)),IF(AND(VALUE([1]raw_data!G18)&gt;0,VALUE([1]raw_data!G18)&lt;=100),VALUE([1]raw_data!G18),"0")))))</f>
        <v>AB</v>
      </c>
      <c r="H18" t="str">
        <f>TRIM(IF(LOWER(TRIM([1]raw_data!H18))="na","NA",IF(TRIM([1]raw_data!H18)=" ",0,IF(ISNUMBER(VALUE([1]raw_data!H18)),IF(AND(VALUE([1]raw_data!H18)&gt;0,VALUE([1]raw_data!H18)&lt;=100),VALUE([1]raw_data!H18),"0")))))</f>
        <v>67</v>
      </c>
      <c r="I18" t="str">
        <f>TRIM(IF(LOWER(TRIM([1]raw_data!I18))="n/a","NA",IF(TRIM([1]raw_data!I18)=" ",0,IF(ISNUMBER(VALUE([1]raw_data!I18)),IF(AND(VALUE([1]raw_data!I18)&gt;0,VALUE([1]raw_data!I18)&lt;=100),VALUE([1]raw_data!G18),"0")))))</f>
        <v>NA</v>
      </c>
      <c r="J18" t="str">
        <f>IF(TRIM([1]raw_data!J18)="",
"-",
TRIM(IF(VALUE(SUBSTITUTE(TRIM([1]raw_data!J18),"%",""))&gt;100,
"CHECK",
VALUE(SUBSTITUTE([1]raw_data!J18,"%","")))))</f>
        <v>94</v>
      </c>
      <c r="K18" t="str">
        <f>IF(LEN(TRIM(SUBSTITUTE([1]raw_data!K18,CHAR(160),"")))=0,
"REQ",
SUBSTITUTE(SUBSTITUTE([1]raw_data!K18,"-","")," ",""))</f>
        <v>9876543210</v>
      </c>
    </row>
    <row r="19" spans="1:11" x14ac:dyDescent="0.25">
      <c r="A19" t="s">
        <v>42</v>
      </c>
      <c r="B19" t="str">
        <f>PROPER(TRIM([1]raw_data!B19))</f>
        <v>Meera Kumar</v>
      </c>
      <c r="C19" t="str">
        <f>IF(OR(LOWER(TRIM([1]raw_data!C19))="male",LOWER(TRIM([1]raw_data!C19))="m"),"Male",IF(OR(LOWER(TRIM([1]raw_data!C19))="female",LOWER(TRIM([1]raw_data!C19))="f",LOWER(TRIM([1]raw_data!C19))="fem"),"Female"))</f>
        <v>Male</v>
      </c>
      <c r="D19" t="str">
        <f>IF(TRIM([1]raw_data!D19)=" ","REQ",IF(LOWER(TRIM([1]raw_data!D19))="sixteen",TRIM(16),IF(ISNUMBER(VALUE([1]raw_data!D19)),IF(OR(VALUE([1]raw_data!D19)&lt;10,VALUE([1]raw_data!D19)&gt;=25),TRIM("CHECK"),TRIM(VALUE([1]raw_data!D19))),"FALSE")))</f>
        <v>CHECK</v>
      </c>
      <c r="E19" t="str">
        <f>IF(OR(UPPER(TRIM([1]raw_data!E19))="X",UPPER(TRIM([1]raw_data!E19))="TEN",TRIM([1]raw_data!E19)="10",UPPER(TRIM([1]raw_data!E19))="10TH"),"X","CHECK")</f>
        <v>X</v>
      </c>
      <c r="F19" t="str">
        <f>IF(OR(LOWER(TRIM([1]raw_data!F19))="sec-a",LOWER(TRIM([1]raw_data!F19))="a"),"A",IF(LOWER(TRIM([1]raw_data!F19))="b","B",IF(LOWER(TRIM([1]raw_data!F19))="c","C",[1]raw_data!F19)))</f>
        <v>A</v>
      </c>
      <c r="G19" t="str">
        <f>TRIM(IF(LOWER(TRIM([1]raw_data!G19))="absent","AB",IF(TRIM([1]raw_data!G19)=" ",0,IF(ISNUMBER(VALUE([1]raw_data!G19)),IF(AND(VALUE([1]raw_data!G19)&gt;0,VALUE([1]raw_data!G19)&lt;=100),VALUE([1]raw_data!G19),"0")))))</f>
        <v>0</v>
      </c>
      <c r="H19" t="str">
        <f>TRIM(IF(LOWER(TRIM([1]raw_data!H19))="na","NA",IF(TRIM([1]raw_data!H19)=" ",0,IF(ISNUMBER(VALUE([1]raw_data!H19)),IF(AND(VALUE([1]raw_data!H19)&gt;0,VALUE([1]raw_data!H19)&lt;=100),VALUE([1]raw_data!H19),"0")))))</f>
        <v>0</v>
      </c>
      <c r="I19" t="str">
        <f>TRIM(IF(LOWER(TRIM([1]raw_data!I19))="n/a","NA",IF(TRIM([1]raw_data!I19)=" ",0,IF(ISNUMBER(VALUE([1]raw_data!I19)),IF(AND(VALUE([1]raw_data!I19)&gt;0,VALUE([1]raw_data!I19)&lt;=100),VALUE([1]raw_data!G19),"0")))))</f>
        <v>0</v>
      </c>
      <c r="J19" t="str">
        <f>IF(TRIM([1]raw_data!J19)="",
"-",
TRIM(IF(VALUE(SUBSTITUTE(TRIM([1]raw_data!J19),"%",""))&gt;100,
"CHECK",
VALUE(SUBSTITUTE([1]raw_data!J19,"%","")))))</f>
        <v>-</v>
      </c>
      <c r="K19" t="str">
        <f>IF(LEN(TRIM(SUBSTITUTE([1]raw_data!K19,CHAR(160),"")))=0,
"REQ",
SUBSTITUTE(SUBSTITUTE([1]raw_data!K19,"-","")," ",""))</f>
        <v>REQ</v>
      </c>
    </row>
    <row r="20" spans="1:11" x14ac:dyDescent="0.25">
      <c r="A20" t="s">
        <v>41</v>
      </c>
      <c r="B20" t="str">
        <f>PROPER(TRIM([1]raw_data!B20))</f>
        <v>Kabir</v>
      </c>
      <c r="C20" t="str">
        <f>IF(OR(LOWER(TRIM([1]raw_data!C20))="male",LOWER(TRIM([1]raw_data!C20))="m"),"Male",IF(OR(LOWER(TRIM([1]raw_data!C20))="female",LOWER(TRIM([1]raw_data!C20))="f",LOWER(TRIM([1]raw_data!C20))="fem"),"Female"))</f>
        <v>Female</v>
      </c>
      <c r="D20" t="str">
        <f>IF(TRIM([1]raw_data!D20)=" ","REQ",IF(LOWER(TRIM([1]raw_data!D20))="sixteen",TRIM(16),IF(ISNUMBER(VALUE([1]raw_data!D20)),IF(OR(VALUE([1]raw_data!D20)&lt;10,VALUE([1]raw_data!D20)&gt;=25),TRIM("CHECK"),TRIM(VALUE([1]raw_data!D20))),"FALSE")))</f>
        <v>CHECK</v>
      </c>
      <c r="E20" t="str">
        <f>IF(OR(UPPER(TRIM([1]raw_data!E20))="X",UPPER(TRIM([1]raw_data!E20))="TEN",TRIM([1]raw_data!E20)="10",UPPER(TRIM([1]raw_data!E20))="10TH"),"X","CHECK")</f>
        <v>X</v>
      </c>
      <c r="F20" t="str">
        <f>IF(OR(LOWER(TRIM([1]raw_data!F20))="sec-a",LOWER(TRIM([1]raw_data!F20))="a"),"A",IF(LOWER(TRIM([1]raw_data!F20))="b","B",IF(LOWER(TRIM([1]raw_data!F20))="c","C",[1]raw_data!F20)))</f>
        <v>B</v>
      </c>
      <c r="G20" t="str">
        <f>TRIM(IF(LOWER(TRIM([1]raw_data!G20))="absent","AB",IF(TRIM([1]raw_data!G20)=" ",0,IF(ISNUMBER(VALUE([1]raw_data!G20)),IF(AND(VALUE([1]raw_data!G20)&gt;0,VALUE([1]raw_data!G20)&lt;=100),VALUE([1]raw_data!G20),"0")))))</f>
        <v>0</v>
      </c>
      <c r="H20" t="str">
        <f>TRIM(IF(LOWER(TRIM([1]raw_data!H20))="na","NA",IF(TRIM([1]raw_data!H20)=" ",0,IF(ISNUMBER(VALUE([1]raw_data!H20)),IF(AND(VALUE([1]raw_data!H20)&gt;0,VALUE([1]raw_data!H20)&lt;=100),VALUE([1]raw_data!H20),"0")))))</f>
        <v>0</v>
      </c>
      <c r="I20" t="str">
        <f>TRIM(IF(LOWER(TRIM([1]raw_data!I20))="n/a","NA",IF(TRIM([1]raw_data!I20)=" ",0,IF(ISNUMBER(VALUE([1]raw_data!I20)),IF(AND(VALUE([1]raw_data!I20)&gt;0,VALUE([1]raw_data!I20)&lt;=100),VALUE([1]raw_data!G20),"0")))))</f>
        <v>0</v>
      </c>
      <c r="J20" t="str">
        <f>IF(TRIM([1]raw_data!J20)="",
"-",
TRIM(IF(VALUE(SUBSTITUTE(TRIM([1]raw_data!J20),"%",""))&gt;100,
"CHECK",
VALUE(SUBSTITUTE([1]raw_data!J20,"%","")))))</f>
        <v>81</v>
      </c>
      <c r="K20" t="str">
        <f>IF(LEN(TRIM(SUBSTITUTE([1]raw_data!K20,CHAR(160),"")))=0,
"REQ",
SUBSTITUTE(SUBSTITUTE([1]raw_data!K20,"-","")," ",""))</f>
        <v>9876543210</v>
      </c>
    </row>
    <row r="21" spans="1:11" x14ac:dyDescent="0.25">
      <c r="A21" t="s">
        <v>40</v>
      </c>
      <c r="B21" t="str">
        <f>PROPER(TRIM([1]raw_data!B21))</f>
        <v>Kabir</v>
      </c>
      <c r="C21" t="str">
        <f>IF(OR(LOWER(TRIM([1]raw_data!C21))="male",LOWER(TRIM([1]raw_data!C21))="m"),"Male",IF(OR(LOWER(TRIM([1]raw_data!C21))="female",LOWER(TRIM([1]raw_data!C21))="f",LOWER(TRIM([1]raw_data!C21))="fem"),"Female"))</f>
        <v>Female</v>
      </c>
      <c r="D21" t="str">
        <f>IF(TRIM([1]raw_data!D21)=" ","REQ",IF(LOWER(TRIM([1]raw_data!D21))="sixteen",TRIM(16),IF(ISNUMBER(VALUE([1]raw_data!D21)),IF(OR(VALUE([1]raw_data!D21)&lt;10,VALUE([1]raw_data!D21)&gt;=25),TRIM("CHECK"),TRIM(VALUE([1]raw_data!D21))),"FALSE")))</f>
        <v>CHECK</v>
      </c>
      <c r="E21" t="str">
        <f>IF(OR(UPPER(TRIM([1]raw_data!E21))="X",UPPER(TRIM([1]raw_data!E21))="TEN",TRIM([1]raw_data!E21)="10",UPPER(TRIM([1]raw_data!E21))="10TH"),"X","CHECK")</f>
        <v>X</v>
      </c>
      <c r="F21" t="str">
        <f>IF(OR(LOWER(TRIM([1]raw_data!F21))="sec-a",LOWER(TRIM([1]raw_data!F21))="a"),"A",IF(LOWER(TRIM([1]raw_data!F21))="b","B",IF(LOWER(TRIM([1]raw_data!F21))="c","C",[1]raw_data!F21)))</f>
        <v>A</v>
      </c>
      <c r="G21" t="str">
        <f>TRIM(IF(LOWER(TRIM([1]raw_data!G21))="absent","AB",IF(TRIM([1]raw_data!G21)=" ",0,IF(ISNUMBER(VALUE([1]raw_data!G21)),IF(AND(VALUE([1]raw_data!G21)&gt;0,VALUE([1]raw_data!G21)&lt;=100),VALUE([1]raw_data!G21),"0")))))</f>
        <v>0</v>
      </c>
      <c r="H21" t="str">
        <f>TRIM(IF(LOWER(TRIM([1]raw_data!H21))="na","NA",IF(TRIM([1]raw_data!H21)=" ",0,IF(ISNUMBER(VALUE([1]raw_data!H21)),IF(AND(VALUE([1]raw_data!H21)&gt;0,VALUE([1]raw_data!H21)&lt;=100),VALUE([1]raw_data!H21),"0")))))</f>
        <v>0</v>
      </c>
      <c r="I21" t="str">
        <f>TRIM(IF(LOWER(TRIM([1]raw_data!I21))="n/a","NA",IF(TRIM([1]raw_data!I21)=" ",0,IF(ISNUMBER(VALUE([1]raw_data!I21)),IF(AND(VALUE([1]raw_data!I21)&gt;0,VALUE([1]raw_data!I21)&lt;=100),VALUE([1]raw_data!G21),"0")))))</f>
        <v>0</v>
      </c>
      <c r="J21" t="str">
        <f>IF(TRIM([1]raw_data!J21)="",
"-",
TRIM(IF(VALUE(SUBSTITUTE(TRIM([1]raw_data!J21),"%",""))&gt;100,
"CHECK",
VALUE(SUBSTITUTE([1]raw_data!J21,"%","")))))</f>
        <v>100</v>
      </c>
      <c r="K21" t="str">
        <f>IF(LEN(TRIM(SUBSTITUTE([1]raw_data!K21,CHAR(160),"")))=0,
"REQ",
SUBSTITUTE(SUBSTITUTE([1]raw_data!K21,"-","")," ",""))</f>
        <v>REQ</v>
      </c>
    </row>
    <row r="22" spans="1:11" x14ac:dyDescent="0.25">
      <c r="A22" t="s">
        <v>39</v>
      </c>
      <c r="B22" t="str">
        <f>PROPER(TRIM([1]raw_data!B22))</f>
        <v>Aarav</v>
      </c>
      <c r="C22" t="str">
        <f>IF(OR(LOWER(TRIM([1]raw_data!C22))="male",LOWER(TRIM([1]raw_data!C22))="m"),"Male",IF(OR(LOWER(TRIM([1]raw_data!C22))="female",LOWER(TRIM([1]raw_data!C22))="f",LOWER(TRIM([1]raw_data!C22))="fem"),"Female"))</f>
        <v>Male</v>
      </c>
      <c r="D22" t="str">
        <f>IF(TRIM([1]raw_data!D22)=" ","REQ",IF(LOWER(TRIM([1]raw_data!D22))="sixteen",TRIM(16),IF(ISNUMBER(VALUE([1]raw_data!D22)),IF(OR(VALUE([1]raw_data!D22)&lt;10,VALUE([1]raw_data!D22)&gt;=25),TRIM("CHECK"),TRIM(VALUE([1]raw_data!D22))),"FALSE")))</f>
        <v>CHECK</v>
      </c>
      <c r="E22" t="str">
        <f>IF(OR(UPPER(TRIM([1]raw_data!E22))="X",UPPER(TRIM([1]raw_data!E22))="TEN",TRIM([1]raw_data!E22)="10",UPPER(TRIM([1]raw_data!E22))="10TH"),"X","CHECK")</f>
        <v>X</v>
      </c>
      <c r="F22" t="str">
        <f>IF(OR(LOWER(TRIM([1]raw_data!F22))="sec-a",LOWER(TRIM([1]raw_data!F22))="a"),"A",IF(LOWER(TRIM([1]raw_data!F22))="b","B",IF(LOWER(TRIM([1]raw_data!F22))="c","C",[1]raw_data!F22)))</f>
        <v>A</v>
      </c>
      <c r="G22" t="str">
        <f>TRIM(IF(LOWER(TRIM([1]raw_data!G22))="absent","AB",IF(TRIM([1]raw_data!G22)=" ",0,IF(ISNUMBER(VALUE([1]raw_data!G22)),IF(AND(VALUE([1]raw_data!G22)&gt;0,VALUE([1]raw_data!G22)&lt;=100),VALUE([1]raw_data!G22),"0")))))</f>
        <v>0</v>
      </c>
      <c r="H22" t="str">
        <f>TRIM(IF(LOWER(TRIM([1]raw_data!H22))="na","NA",IF(TRIM([1]raw_data!H22)=" ",0,IF(ISNUMBER(VALUE([1]raw_data!H22)),IF(AND(VALUE([1]raw_data!H22)&gt;0,VALUE([1]raw_data!H22)&lt;=100),VALUE([1]raw_data!H22),"0")))))</f>
        <v>0</v>
      </c>
      <c r="I22" t="str">
        <f>TRIM(IF(LOWER(TRIM([1]raw_data!I22))="n/a","NA",IF(TRIM([1]raw_data!I22)=" ",0,IF(ISNUMBER(VALUE([1]raw_data!I22)),IF(AND(VALUE([1]raw_data!I22)&gt;0,VALUE([1]raw_data!I22)&lt;=100),VALUE([1]raw_data!G22),"0")))))</f>
        <v>0</v>
      </c>
      <c r="J22" t="str">
        <f>IF(TRIM([1]raw_data!J22)="",
"-",
TRIM(IF(VALUE(SUBSTITUTE(TRIM([1]raw_data!J22),"%",""))&gt;100,
"CHECK",
VALUE(SUBSTITUTE([1]raw_data!J22,"%","")))))</f>
        <v>-</v>
      </c>
      <c r="K22" t="str">
        <f>IF(LEN(TRIM(SUBSTITUTE([1]raw_data!K22,CHAR(160),"")))=0,
"REQ",
SUBSTITUTE(SUBSTITUTE([1]raw_data!K22,"-","")," ",""))</f>
        <v>REQ</v>
      </c>
    </row>
    <row r="23" spans="1:11" x14ac:dyDescent="0.25">
      <c r="A23" t="s">
        <v>38</v>
      </c>
      <c r="B23" t="str">
        <f>PROPER(TRIM([1]raw_data!B23))</f>
        <v>Aditya Kumar</v>
      </c>
      <c r="C23" t="str">
        <f>IF(OR(LOWER(TRIM([1]raw_data!C23))="male",LOWER(TRIM([1]raw_data!C23))="m"),"Male",IF(OR(LOWER(TRIM([1]raw_data!C23))="female",LOWER(TRIM([1]raw_data!C23))="f",LOWER(TRIM([1]raw_data!C23))="fem"),"Female"))</f>
        <v>Male</v>
      </c>
      <c r="D23" t="str">
        <f>IF(TRIM([1]raw_data!D23)=" ","REQ",IF(LOWER(TRIM([1]raw_data!D23))="sixteen",TRIM(16),IF(ISNUMBER(VALUE([1]raw_data!D23)),IF(OR(VALUE([1]raw_data!D23)&lt;10,VALUE([1]raw_data!D23)&gt;=25),TRIM("CHECK"),TRIM(VALUE([1]raw_data!D23))),"FALSE")))</f>
        <v>CHECK</v>
      </c>
      <c r="E23" t="str">
        <f>IF(OR(UPPER(TRIM([1]raw_data!E23))="X",UPPER(TRIM([1]raw_data!E23))="TEN",TRIM([1]raw_data!E23)="10",UPPER(TRIM([1]raw_data!E23))="10TH"),"X","CHECK")</f>
        <v>X</v>
      </c>
      <c r="F23" t="str">
        <f>IF(OR(LOWER(TRIM([1]raw_data!F23))="sec-a",LOWER(TRIM([1]raw_data!F23))="a"),"A",IF(LOWER(TRIM([1]raw_data!F23))="b","B",IF(LOWER(TRIM([1]raw_data!F23))="c","C",[1]raw_data!F23)))</f>
        <v>A</v>
      </c>
      <c r="G23" t="str">
        <f>TRIM(IF(LOWER(TRIM([1]raw_data!G23))="absent","AB",IF(TRIM([1]raw_data!G23)=" ",0,IF(ISNUMBER(VALUE([1]raw_data!G23)),IF(AND(VALUE([1]raw_data!G23)&gt;0,VALUE([1]raw_data!G23)&lt;=100),VALUE([1]raw_data!G23),"0")))))</f>
        <v>0</v>
      </c>
      <c r="H23" t="str">
        <f>TRIM(IF(LOWER(TRIM([1]raw_data!H23))="na","NA",IF(TRIM([1]raw_data!H23)=" ",0,IF(ISNUMBER(VALUE([1]raw_data!H23)),IF(AND(VALUE([1]raw_data!H23)&gt;0,VALUE([1]raw_data!H23)&lt;=100),VALUE([1]raw_data!H23),"0")))))</f>
        <v>56</v>
      </c>
      <c r="I23" t="str">
        <f>TRIM(IF(LOWER(TRIM([1]raw_data!I23))="n/a","NA",IF(TRIM([1]raw_data!I23)=" ",0,IF(ISNUMBER(VALUE([1]raw_data!I23)),IF(AND(VALUE([1]raw_data!I23)&gt;0,VALUE([1]raw_data!I23)&lt;=100),VALUE([1]raw_data!G23),"0")))))</f>
        <v>NA</v>
      </c>
      <c r="J23" t="str">
        <f>IF(TRIM([1]raw_data!J23)="",
"-",
TRIM(IF(VALUE(SUBSTITUTE(TRIM([1]raw_data!J23),"%",""))&gt;100,
"CHECK",
VALUE(SUBSTITUTE([1]raw_data!J23,"%","")))))</f>
        <v>-</v>
      </c>
      <c r="K23" t="str">
        <f>IF(LEN(TRIM(SUBSTITUTE([1]raw_data!K23,CHAR(160),"")))=0,
"REQ",
SUBSTITUTE(SUBSTITUTE([1]raw_data!K23,"-","")," ",""))</f>
        <v>9876543210</v>
      </c>
    </row>
    <row r="24" spans="1:11" x14ac:dyDescent="0.25">
      <c r="A24" t="s">
        <v>37</v>
      </c>
      <c r="B24" t="str">
        <f>PROPER(TRIM([1]raw_data!B24))</f>
        <v>Kabir</v>
      </c>
      <c r="C24" t="str">
        <f>IF(OR(LOWER(TRIM([1]raw_data!C24))="male",LOWER(TRIM([1]raw_data!C24))="m"),"Male",IF(OR(LOWER(TRIM([1]raw_data!C24))="female",LOWER(TRIM([1]raw_data!C24))="f",LOWER(TRIM([1]raw_data!C24))="fem"),"Female"))</f>
        <v>Female</v>
      </c>
      <c r="D24" t="str">
        <f>IF(TRIM([1]raw_data!D24)=" ","REQ",IF(LOWER(TRIM([1]raw_data!D24))="sixteen",TRIM(16),IF(ISNUMBER(VALUE([1]raw_data!D24)),IF(OR(VALUE([1]raw_data!D24)&lt;10,VALUE([1]raw_data!D24)&gt;=25),TRIM("CHECK"),TRIM(VALUE([1]raw_data!D24))),"FALSE")))</f>
        <v>CHECK</v>
      </c>
      <c r="E24" t="str">
        <f>IF(OR(UPPER(TRIM([1]raw_data!E24))="X",UPPER(TRIM([1]raw_data!E24))="TEN",TRIM([1]raw_data!E24)="10",UPPER(TRIM([1]raw_data!E24))="10TH"),"X","CHECK")</f>
        <v>X</v>
      </c>
      <c r="F24" t="str">
        <f>IF(OR(LOWER(TRIM([1]raw_data!F24))="sec-a",LOWER(TRIM([1]raw_data!F24))="a"),"A",IF(LOWER(TRIM([1]raw_data!F24))="b","B",IF(LOWER(TRIM([1]raw_data!F24))="c","C",[1]raw_data!F24)))</f>
        <v>A</v>
      </c>
      <c r="G24" t="str">
        <f>TRIM(IF(LOWER(TRIM([1]raw_data!G24))="absent","AB",IF(TRIM([1]raw_data!G24)=" ",0,IF(ISNUMBER(VALUE([1]raw_data!G24)),IF(AND(VALUE([1]raw_data!G24)&gt;0,VALUE([1]raw_data!G24)&lt;=100),VALUE([1]raw_data!G24),"0")))))</f>
        <v>0</v>
      </c>
      <c r="H24" t="str">
        <f>TRIM(IF(LOWER(TRIM([1]raw_data!H24))="na","NA",IF(TRIM([1]raw_data!H24)=" ",0,IF(ISNUMBER(VALUE([1]raw_data!H24)),IF(AND(VALUE([1]raw_data!H24)&gt;0,VALUE([1]raw_data!H24)&lt;=100),VALUE([1]raw_data!H24),"0")))))</f>
        <v>0</v>
      </c>
      <c r="I24" t="str">
        <f>TRIM(IF(LOWER(TRIM([1]raw_data!I24))="n/a","NA",IF(TRIM([1]raw_data!I24)=" ",0,IF(ISNUMBER(VALUE([1]raw_data!I24)),IF(AND(VALUE([1]raw_data!I24)&gt;0,VALUE([1]raw_data!I24)&lt;=100),VALUE([1]raw_data!G24),"0")))))</f>
        <v>0</v>
      </c>
      <c r="J24" t="str">
        <f>IF(TRIM([1]raw_data!J24)="",
"-",
TRIM(IF(VALUE(SUBSTITUTE(TRIM([1]raw_data!J24),"%",""))&gt;100,
"CHECK",
VALUE(SUBSTITUTE([1]raw_data!J24,"%","")))))</f>
        <v>-</v>
      </c>
      <c r="K24" t="str">
        <f>IF(LEN(TRIM(SUBSTITUTE([1]raw_data!K24,CHAR(160),"")))=0,
"REQ",
SUBSTITUTE(SUBSTITUTE([1]raw_data!K24,"-","")," ",""))</f>
        <v>9876543210</v>
      </c>
    </row>
    <row r="25" spans="1:11" x14ac:dyDescent="0.25">
      <c r="A25" t="s">
        <v>36</v>
      </c>
      <c r="B25" t="str">
        <f>PROPER(TRIM([1]raw_data!B25))</f>
        <v>Aditya</v>
      </c>
      <c r="C25" t="str">
        <f>IF(OR(LOWER(TRIM([1]raw_data!C25))="male",LOWER(TRIM([1]raw_data!C25))="m"),"Male",IF(OR(LOWER(TRIM([1]raw_data!C25))="female",LOWER(TRIM([1]raw_data!C25))="f",LOWER(TRIM([1]raw_data!C25))="fem"),"Female"))</f>
        <v>Female</v>
      </c>
      <c r="D25" t="str">
        <f>IF(TRIM([1]raw_data!D25)=" ","REQ",IF(LOWER(TRIM([1]raw_data!D25))="sixteen",TRIM(16),IF(ISNUMBER(VALUE([1]raw_data!D25)),IF(OR(VALUE([1]raw_data!D25)&lt;10,VALUE([1]raw_data!D25)&gt;=25),TRIM("CHECK"),TRIM(VALUE([1]raw_data!D25))),"FALSE")))</f>
        <v>15</v>
      </c>
      <c r="E25" t="str">
        <f>IF(OR(UPPER(TRIM([1]raw_data!E25))="X",UPPER(TRIM([1]raw_data!E25))="TEN",TRIM([1]raw_data!E25)="10",UPPER(TRIM([1]raw_data!E25))="10TH"),"X","CHECK")</f>
        <v>X</v>
      </c>
      <c r="F25" t="str">
        <f>IF(OR(LOWER(TRIM([1]raw_data!F25))="sec-a",LOWER(TRIM([1]raw_data!F25))="a"),"A",IF(LOWER(TRIM([1]raw_data!F25))="b","B",IF(LOWER(TRIM([1]raw_data!F25))="c","C",[1]raw_data!F25)))</f>
        <v>A</v>
      </c>
      <c r="G25" t="str">
        <f>TRIM(IF(LOWER(TRIM([1]raw_data!G25))="absent","AB",IF(TRIM([1]raw_data!G25)=" ",0,IF(ISNUMBER(VALUE([1]raw_data!G25)),IF(AND(VALUE([1]raw_data!G25)&gt;0,VALUE([1]raw_data!G25)&lt;=100),VALUE([1]raw_data!G25),"0")))))</f>
        <v>AB</v>
      </c>
      <c r="H25" t="str">
        <f>TRIM(IF(LOWER(TRIM([1]raw_data!H25))="na","NA",IF(TRIM([1]raw_data!H25)=" ",0,IF(ISNUMBER(VALUE([1]raw_data!H25)),IF(AND(VALUE([1]raw_data!H25)&gt;0,VALUE([1]raw_data!H25)&lt;=100),VALUE([1]raw_data!H25),"0")))))</f>
        <v>0</v>
      </c>
      <c r="I25" t="str">
        <f>TRIM(IF(LOWER(TRIM([1]raw_data!I25))="n/a","NA",IF(TRIM([1]raw_data!I25)=" ",0,IF(ISNUMBER(VALUE([1]raw_data!I25)),IF(AND(VALUE([1]raw_data!I25)&gt;0,VALUE([1]raw_data!I25)&lt;=100),VALUE([1]raw_data!G25),"0")))))</f>
        <v>0</v>
      </c>
      <c r="J25" t="str">
        <f>IF(TRIM([1]raw_data!J25)="",
"-",
TRIM(IF(VALUE(SUBSTITUTE(TRIM([1]raw_data!J25),"%",""))&gt;100,
"CHECK",
VALUE(SUBSTITUTE([1]raw_data!J25,"%","")))))</f>
        <v>-</v>
      </c>
      <c r="K25" t="str">
        <f>IF(LEN(TRIM(SUBSTITUTE([1]raw_data!K25,CHAR(160),"")))=0,
"REQ",
SUBSTITUTE(SUBSTITUTE([1]raw_data!K25,"-","")," ",""))</f>
        <v>9876543210</v>
      </c>
    </row>
    <row r="26" spans="1:11" x14ac:dyDescent="0.25">
      <c r="A26" t="s">
        <v>35</v>
      </c>
      <c r="B26" t="str">
        <f>PROPER(TRIM([1]raw_data!B26))</f>
        <v>Aditya</v>
      </c>
      <c r="C26" t="str">
        <f>IF(OR(LOWER(TRIM([1]raw_data!C26))="male",LOWER(TRIM([1]raw_data!C26))="m"),"Male",IF(OR(LOWER(TRIM([1]raw_data!C26))="female",LOWER(TRIM([1]raw_data!C26))="f",LOWER(TRIM([1]raw_data!C26))="fem"),"Female"))</f>
        <v>Female</v>
      </c>
      <c r="D26" t="str">
        <f>IF(TRIM([1]raw_data!D26)=" ","REQ",IF(LOWER(TRIM([1]raw_data!D26))="sixteen",TRIM(16),IF(ISNUMBER(VALUE([1]raw_data!D26)),IF(OR(VALUE([1]raw_data!D26)&lt;10,VALUE([1]raw_data!D26)&gt;=25),TRIM("CHECK"),TRIM(VALUE([1]raw_data!D26))),"FALSE")))</f>
        <v>16</v>
      </c>
      <c r="E26" t="str">
        <f>IF(OR(UPPER(TRIM([1]raw_data!E26))="X",UPPER(TRIM([1]raw_data!E26))="TEN",TRIM([1]raw_data!E26)="10",UPPER(TRIM([1]raw_data!E26))="10TH"),"X","CHECK")</f>
        <v>X</v>
      </c>
      <c r="F26" t="str">
        <f>IF(OR(LOWER(TRIM([1]raw_data!F26))="sec-a",LOWER(TRIM([1]raw_data!F26))="a"),"A",IF(LOWER(TRIM([1]raw_data!F26))="b","B",IF(LOWER(TRIM([1]raw_data!F26))="c","C",[1]raw_data!F26)))</f>
        <v>A</v>
      </c>
      <c r="G26" t="str">
        <f>TRIM(IF(LOWER(TRIM([1]raw_data!G26))="absent","AB",IF(TRIM([1]raw_data!G26)=" ",0,IF(ISNUMBER(VALUE([1]raw_data!G26)),IF(AND(VALUE([1]raw_data!G26)&gt;0,VALUE([1]raw_data!G26)&lt;=100),VALUE([1]raw_data!G26),"0")))))</f>
        <v>47</v>
      </c>
      <c r="H26" t="str">
        <f>TRIM(IF(LOWER(TRIM([1]raw_data!H26))="na","NA",IF(TRIM([1]raw_data!H26)=" ",0,IF(ISNUMBER(VALUE([1]raw_data!H26)),IF(AND(VALUE([1]raw_data!H26)&gt;0,VALUE([1]raw_data!H26)&lt;=100),VALUE([1]raw_data!H26),"0")))))</f>
        <v>84</v>
      </c>
      <c r="I26" t="str">
        <f>TRIM(IF(LOWER(TRIM([1]raw_data!I26))="n/a","NA",IF(TRIM([1]raw_data!I26)=" ",0,IF(ISNUMBER(VALUE([1]raw_data!I26)),IF(AND(VALUE([1]raw_data!I26)&gt;0,VALUE([1]raw_data!I26)&lt;=100),VALUE([1]raw_data!G26),"0")))))</f>
        <v>47</v>
      </c>
      <c r="J26" t="str">
        <f>IF(TRIM([1]raw_data!J26)="",
"-",
TRIM(IF(VALUE(SUBSTITUTE(TRIM([1]raw_data!J26),"%",""))&gt;100,
"CHECK",
VALUE(SUBSTITUTE([1]raw_data!J26,"%","")))))</f>
        <v>80</v>
      </c>
      <c r="K26" t="str">
        <f>IF(LEN(TRIM(SUBSTITUTE([1]raw_data!K26,CHAR(160),"")))=0,
"REQ",
SUBSTITUTE(SUBSTITUTE([1]raw_data!K26,"-","")," ",""))</f>
        <v>9876543210</v>
      </c>
    </row>
    <row r="27" spans="1:11" x14ac:dyDescent="0.25">
      <c r="A27" t="s">
        <v>34</v>
      </c>
      <c r="B27" t="str">
        <f>PROPER(TRIM([1]raw_data!B27))</f>
        <v>Ananya</v>
      </c>
      <c r="C27" t="str">
        <f>IF(OR(LOWER(TRIM([1]raw_data!C27))="male",LOWER(TRIM([1]raw_data!C27))="m"),"Male",IF(OR(LOWER(TRIM([1]raw_data!C27))="female",LOWER(TRIM([1]raw_data!C27))="f",LOWER(TRIM([1]raw_data!C27))="fem"),"Female"))</f>
        <v>Female</v>
      </c>
      <c r="D27" t="str">
        <f>IF(TRIM([1]raw_data!D27)=" ","REQ",IF(LOWER(TRIM([1]raw_data!D27))="sixteen",TRIM(16),IF(ISNUMBER(VALUE([1]raw_data!D27)),IF(OR(VALUE([1]raw_data!D27)&lt;10,VALUE([1]raw_data!D27)&gt;=25),TRIM("CHECK"),TRIM(VALUE([1]raw_data!D27))),"FALSE")))</f>
        <v>CHECK</v>
      </c>
      <c r="E27" t="str">
        <f>IF(OR(UPPER(TRIM([1]raw_data!E27))="X",UPPER(TRIM([1]raw_data!E27))="TEN",TRIM([1]raw_data!E27)="10",UPPER(TRIM([1]raw_data!E27))="10TH"),"X","CHECK")</f>
        <v>X</v>
      </c>
      <c r="F27" t="str">
        <f>IF(OR(LOWER(TRIM([1]raw_data!F27))="sec-a",LOWER(TRIM([1]raw_data!F27))="a"),"A",IF(LOWER(TRIM([1]raw_data!F27))="b","B",IF(LOWER(TRIM([1]raw_data!F27))="c","C",[1]raw_data!F27)))</f>
        <v>B</v>
      </c>
      <c r="G27" t="str">
        <f>TRIM(IF(LOWER(TRIM([1]raw_data!G27))="absent","AB",IF(TRIM([1]raw_data!G27)=" ",0,IF(ISNUMBER(VALUE([1]raw_data!G27)),IF(AND(VALUE([1]raw_data!G27)&gt;0,VALUE([1]raw_data!G27)&lt;=100),VALUE([1]raw_data!G27),"0")))))</f>
        <v>0</v>
      </c>
      <c r="H27" t="str">
        <f>TRIM(IF(LOWER(TRIM([1]raw_data!H27))="na","NA",IF(TRIM([1]raw_data!H27)=" ",0,IF(ISNUMBER(VALUE([1]raw_data!H27)),IF(AND(VALUE([1]raw_data!H27)&gt;0,VALUE([1]raw_data!H27)&lt;=100),VALUE([1]raw_data!H27),"0")))))</f>
        <v>NA</v>
      </c>
      <c r="I27" t="str">
        <f>TRIM(IF(LOWER(TRIM([1]raw_data!I27))="n/a","NA",IF(TRIM([1]raw_data!I27)=" ",0,IF(ISNUMBER(VALUE([1]raw_data!I27)),IF(AND(VALUE([1]raw_data!I27)&gt;0,VALUE([1]raw_data!I27)&lt;=100),VALUE([1]raw_data!G27),"0")))))</f>
        <v>0</v>
      </c>
      <c r="J27" t="str">
        <f>IF(TRIM([1]raw_data!J27)="",
"-",
TRIM(IF(VALUE(SUBSTITUTE(TRIM([1]raw_data!J27),"%",""))&gt;100,
"CHECK",
VALUE(SUBSTITUTE([1]raw_data!J27,"%","")))))</f>
        <v>85</v>
      </c>
      <c r="K27" t="str">
        <f>IF(LEN(TRIM(SUBSTITUTE([1]raw_data!K27,CHAR(160),"")))=0,
"REQ",
SUBSTITUTE(SUBSTITUTE([1]raw_data!K27,"-","")," ",""))</f>
        <v>REQ</v>
      </c>
    </row>
    <row r="28" spans="1:11" x14ac:dyDescent="0.25">
      <c r="A28" t="s">
        <v>33</v>
      </c>
      <c r="B28" t="str">
        <f>PROPER(TRIM([1]raw_data!B28))</f>
        <v>Ananya Kumar</v>
      </c>
      <c r="C28" t="str">
        <f>IF(OR(LOWER(TRIM([1]raw_data!C28))="male",LOWER(TRIM([1]raw_data!C28))="m"),"Male",IF(OR(LOWER(TRIM([1]raw_data!C28))="female",LOWER(TRIM([1]raw_data!C28))="f",LOWER(TRIM([1]raw_data!C28))="fem"),"Female"))</f>
        <v>Female</v>
      </c>
      <c r="D28" t="str">
        <f>IF(TRIM([1]raw_data!D28)=" ","REQ",IF(LOWER(TRIM([1]raw_data!D28))="sixteen",TRIM(16),IF(ISNUMBER(VALUE([1]raw_data!D28)),IF(OR(VALUE([1]raw_data!D28)&lt;10,VALUE([1]raw_data!D28)&gt;=25),TRIM("CHECK"),TRIM(VALUE([1]raw_data!D28))),"FALSE")))</f>
        <v>17</v>
      </c>
      <c r="E28" t="str">
        <f>IF(OR(UPPER(TRIM([1]raw_data!E28))="X",UPPER(TRIM([1]raw_data!E28))="TEN",TRIM([1]raw_data!E28)="10",UPPER(TRIM([1]raw_data!E28))="10TH"),"X","CHECK")</f>
        <v>X</v>
      </c>
      <c r="F28" t="str">
        <f>IF(OR(LOWER(TRIM([1]raw_data!F28))="sec-a",LOWER(TRIM([1]raw_data!F28))="a"),"A",IF(LOWER(TRIM([1]raw_data!F28))="b","B",IF(LOWER(TRIM([1]raw_data!F28))="c","C",[1]raw_data!F28)))</f>
        <v>A</v>
      </c>
      <c r="G28" t="str">
        <f>TRIM(IF(LOWER(TRIM([1]raw_data!G28))="absent","AB",IF(TRIM([1]raw_data!G28)=" ",0,IF(ISNUMBER(VALUE([1]raw_data!G28)),IF(AND(VALUE([1]raw_data!G28)&gt;0,VALUE([1]raw_data!G28)&lt;=100),VALUE([1]raw_data!G28),"0")))))</f>
        <v>0</v>
      </c>
      <c r="H28" t="str">
        <f>TRIM(IF(LOWER(TRIM([1]raw_data!H28))="na","NA",IF(TRIM([1]raw_data!H28)=" ",0,IF(ISNUMBER(VALUE([1]raw_data!H28)),IF(AND(VALUE([1]raw_data!H28)&gt;0,VALUE([1]raw_data!H28)&lt;=100),VALUE([1]raw_data!H28),"0")))))</f>
        <v>0</v>
      </c>
      <c r="I28" t="str">
        <f>TRIM(IF(LOWER(TRIM([1]raw_data!I28))="n/a","NA",IF(TRIM([1]raw_data!I28)=" ",0,IF(ISNUMBER(VALUE([1]raw_data!I28)),IF(AND(VALUE([1]raw_data!I28)&gt;0,VALUE([1]raw_data!I28)&lt;=100),VALUE([1]raw_data!G28),"0")))))</f>
        <v>0</v>
      </c>
      <c r="J28" t="str">
        <f>IF(TRIM([1]raw_data!J28)="",
"-",
TRIM(IF(VALUE(SUBSTITUTE(TRIM([1]raw_data!J28),"%",""))&gt;100,
"CHECK",
VALUE(SUBSTITUTE([1]raw_data!J28,"%","")))))</f>
        <v>-</v>
      </c>
      <c r="K28" t="str">
        <f>IF(LEN(TRIM(SUBSTITUTE([1]raw_data!K28,CHAR(160),"")))=0,
"REQ",
SUBSTITUTE(SUBSTITUTE([1]raw_data!K28,"-","")," ",""))</f>
        <v>REQ</v>
      </c>
    </row>
    <row r="29" spans="1:11" x14ac:dyDescent="0.25">
      <c r="A29" t="s">
        <v>32</v>
      </c>
      <c r="B29" t="str">
        <f>PROPER(TRIM([1]raw_data!B29))</f>
        <v>Aarav</v>
      </c>
      <c r="C29" t="str">
        <f>IF(OR(LOWER(TRIM([1]raw_data!C29))="male",LOWER(TRIM([1]raw_data!C29))="m"),"Male",IF(OR(LOWER(TRIM([1]raw_data!C29))="female",LOWER(TRIM([1]raw_data!C29))="f",LOWER(TRIM([1]raw_data!C29))="fem"),"Female"))</f>
        <v>Female</v>
      </c>
      <c r="D29" t="str">
        <f>IF(TRIM([1]raw_data!D29)=" ","REQ",IF(LOWER(TRIM([1]raw_data!D29))="sixteen",TRIM(16),IF(ISNUMBER(VALUE([1]raw_data!D29)),IF(OR(VALUE([1]raw_data!D29)&lt;10,VALUE([1]raw_data!D29)&gt;=25),TRIM("CHECK"),TRIM(VALUE([1]raw_data!D29))),"FALSE")))</f>
        <v>CHECK</v>
      </c>
      <c r="E29" t="str">
        <f>IF(OR(UPPER(TRIM([1]raw_data!E29))="X",UPPER(TRIM([1]raw_data!E29))="TEN",TRIM([1]raw_data!E29)="10",UPPER(TRIM([1]raw_data!E29))="10TH"),"X","CHECK")</f>
        <v>X</v>
      </c>
      <c r="F29" t="str">
        <f>IF(OR(LOWER(TRIM([1]raw_data!F29))="sec-a",LOWER(TRIM([1]raw_data!F29))="a"),"A",IF(LOWER(TRIM([1]raw_data!F29))="b","B",IF(LOWER(TRIM([1]raw_data!F29))="c","C",[1]raw_data!F29)))</f>
        <v>A</v>
      </c>
      <c r="G29" t="str">
        <f>TRIM(IF(LOWER(TRIM([1]raw_data!G29))="absent","AB",IF(TRIM([1]raw_data!G29)=" ",0,IF(ISNUMBER(VALUE([1]raw_data!G29)),IF(AND(VALUE([1]raw_data!G29)&gt;0,VALUE([1]raw_data!G29)&lt;=100),VALUE([1]raw_data!G29),"0")))))</f>
        <v>0</v>
      </c>
      <c r="H29" t="str">
        <f>TRIM(IF(LOWER(TRIM([1]raw_data!H29))="na","NA",IF(TRIM([1]raw_data!H29)=" ",0,IF(ISNUMBER(VALUE([1]raw_data!H29)),IF(AND(VALUE([1]raw_data!H29)&gt;0,VALUE([1]raw_data!H29)&lt;=100),VALUE([1]raw_data!H29),"0")))))</f>
        <v>0</v>
      </c>
      <c r="I29" t="str">
        <f>TRIM(IF(LOWER(TRIM([1]raw_data!I29))="n/a","NA",IF(TRIM([1]raw_data!I29)=" ",0,IF(ISNUMBER(VALUE([1]raw_data!I29)),IF(AND(VALUE([1]raw_data!I29)&gt;0,VALUE([1]raw_data!I29)&lt;=100),VALUE([1]raw_data!G29),"0")))))</f>
        <v>0</v>
      </c>
      <c r="J29" t="str">
        <f>IF(TRIM([1]raw_data!J29)="",
"-",
TRIM(IF(VALUE(SUBSTITUTE(TRIM([1]raw_data!J29),"%",""))&gt;100,
"CHECK",
VALUE(SUBSTITUTE([1]raw_data!J29,"%","")))))</f>
        <v>86</v>
      </c>
      <c r="K29" t="str">
        <f>IF(LEN(TRIM(SUBSTITUTE([1]raw_data!K29,CHAR(160),"")))=0,
"REQ",
SUBSTITUTE(SUBSTITUTE([1]raw_data!K29,"-","")," ",""))</f>
        <v>9876543210</v>
      </c>
    </row>
    <row r="30" spans="1:11" x14ac:dyDescent="0.25">
      <c r="A30" t="s">
        <v>31</v>
      </c>
      <c r="B30" t="str">
        <f>PROPER(TRIM([1]raw_data!B30))</f>
        <v>Rahul</v>
      </c>
      <c r="C30" t="str">
        <f>IF(OR(LOWER(TRIM([1]raw_data!C30))="male",LOWER(TRIM([1]raw_data!C30))="m"),"Male",IF(OR(LOWER(TRIM([1]raw_data!C30))="female",LOWER(TRIM([1]raw_data!C30))="f",LOWER(TRIM([1]raw_data!C30))="fem"),"Female"))</f>
        <v>Female</v>
      </c>
      <c r="D30" t="str">
        <f>IF(TRIM([1]raw_data!D30)=" ","REQ",IF(LOWER(TRIM([1]raw_data!D30))="sixteen",TRIM(16),IF(ISNUMBER(VALUE([1]raw_data!D30)),IF(OR(VALUE([1]raw_data!D30)&lt;10,VALUE([1]raw_data!D30)&gt;=25),TRIM("CHECK"),TRIM(VALUE([1]raw_data!D30))),"FALSE")))</f>
        <v>18</v>
      </c>
      <c r="E30" t="str">
        <f>IF(OR(UPPER(TRIM([1]raw_data!E30))="X",UPPER(TRIM([1]raw_data!E30))="TEN",TRIM([1]raw_data!E30)="10",UPPER(TRIM([1]raw_data!E30))="10TH"),"X","CHECK")</f>
        <v>X</v>
      </c>
      <c r="F30" t="str">
        <f>IF(OR(LOWER(TRIM([1]raw_data!F30))="sec-a",LOWER(TRIM([1]raw_data!F30))="a"),"A",IF(LOWER(TRIM([1]raw_data!F30))="b","B",IF(LOWER(TRIM([1]raw_data!F30))="c","C",[1]raw_data!F30)))</f>
        <v>A</v>
      </c>
      <c r="G30" t="str">
        <f>TRIM(IF(LOWER(TRIM([1]raw_data!G30))="absent","AB",IF(TRIM([1]raw_data!G30)=" ",0,IF(ISNUMBER(VALUE([1]raw_data!G30)),IF(AND(VALUE([1]raw_data!G30)&gt;0,VALUE([1]raw_data!G30)&lt;=100),VALUE([1]raw_data!G30),"0")))))</f>
        <v>79</v>
      </c>
      <c r="H30" t="str">
        <f>TRIM(IF(LOWER(TRIM([1]raw_data!H30))="na","NA",IF(TRIM([1]raw_data!H30)=" ",0,IF(ISNUMBER(VALUE([1]raw_data!H30)),IF(AND(VALUE([1]raw_data!H30)&gt;0,VALUE([1]raw_data!H30)&lt;=100),VALUE([1]raw_data!H30),"0")))))</f>
        <v>0</v>
      </c>
      <c r="I30" t="str">
        <f>TRIM(IF(LOWER(TRIM([1]raw_data!I30))="n/a","NA",IF(TRIM([1]raw_data!I30)=" ",0,IF(ISNUMBER(VALUE([1]raw_data!I30)),IF(AND(VALUE([1]raw_data!I30)&gt;0,VALUE([1]raw_data!I30)&lt;=100),VALUE([1]raw_data!G30),"0")))))</f>
        <v>0</v>
      </c>
      <c r="J30" t="str">
        <f>IF(TRIM([1]raw_data!J30)="",
"-",
TRIM(IF(VALUE(SUBSTITUTE(TRIM([1]raw_data!J30),"%",""))&gt;100,
"CHECK",
VALUE(SUBSTITUTE([1]raw_data!J30,"%","")))))</f>
        <v>61</v>
      </c>
      <c r="K30" t="str">
        <f>IF(LEN(TRIM(SUBSTITUTE([1]raw_data!K30,CHAR(160),"")))=0,
"REQ",
SUBSTITUTE(SUBSTITUTE([1]raw_data!K30,"-","")," ",""))</f>
        <v>REQ</v>
      </c>
    </row>
    <row r="31" spans="1:11" x14ac:dyDescent="0.25">
      <c r="A31" t="s">
        <v>30</v>
      </c>
      <c r="B31" t="str">
        <f>PROPER(TRIM([1]raw_data!B31))</f>
        <v>Vivaan</v>
      </c>
      <c r="C31" t="str">
        <f>IF(OR(LOWER(TRIM([1]raw_data!C31))="male",LOWER(TRIM([1]raw_data!C31))="m"),"Male",IF(OR(LOWER(TRIM([1]raw_data!C31))="female",LOWER(TRIM([1]raw_data!C31))="f",LOWER(TRIM([1]raw_data!C31))="fem"),"Female"))</f>
        <v>Male</v>
      </c>
      <c r="D31" t="str">
        <f>IF(TRIM([1]raw_data!D31)=" ","REQ",IF(LOWER(TRIM([1]raw_data!D31))="sixteen",TRIM(16),IF(ISNUMBER(VALUE([1]raw_data!D31)),IF(OR(VALUE([1]raw_data!D31)&lt;10,VALUE([1]raw_data!D31)&gt;=25),TRIM("CHECK"),TRIM(VALUE([1]raw_data!D31))),"FALSE")))</f>
        <v>15</v>
      </c>
      <c r="E31" t="str">
        <f>IF(OR(UPPER(TRIM([1]raw_data!E31))="X",UPPER(TRIM([1]raw_data!E31))="TEN",TRIM([1]raw_data!E31)="10",UPPER(TRIM([1]raw_data!E31))="10TH"),"X","CHECK")</f>
        <v>X</v>
      </c>
      <c r="F31" t="str">
        <f>IF(OR(LOWER(TRIM([1]raw_data!F31))="sec-a",LOWER(TRIM([1]raw_data!F31))="a"),"A",IF(LOWER(TRIM([1]raw_data!F31))="b","B",IF(LOWER(TRIM([1]raw_data!F31))="c","C",[1]raw_data!F31)))</f>
        <v>B</v>
      </c>
      <c r="G31" t="str">
        <f>TRIM(IF(LOWER(TRIM([1]raw_data!G31))="absent","AB",IF(TRIM([1]raw_data!G31)=" ",0,IF(ISNUMBER(VALUE([1]raw_data!G31)),IF(AND(VALUE([1]raw_data!G31)&gt;0,VALUE([1]raw_data!G31)&lt;=100),VALUE([1]raw_data!G31),"0")))))</f>
        <v>0</v>
      </c>
      <c r="H31" t="str">
        <f>TRIM(IF(LOWER(TRIM([1]raw_data!H31))="na","NA",IF(TRIM([1]raw_data!H31)=" ",0,IF(ISNUMBER(VALUE([1]raw_data!H31)),IF(AND(VALUE([1]raw_data!H31)&gt;0,VALUE([1]raw_data!H31)&lt;=100),VALUE([1]raw_data!H31),"0")))))</f>
        <v>0</v>
      </c>
      <c r="I31" t="str">
        <f>TRIM(IF(LOWER(TRIM([1]raw_data!I31))="n/a","NA",IF(TRIM([1]raw_data!I31)=" ",0,IF(ISNUMBER(VALUE([1]raw_data!I31)),IF(AND(VALUE([1]raw_data!I31)&gt;0,VALUE([1]raw_data!I31)&lt;=100),VALUE([1]raw_data!G31),"0")))))</f>
        <v>0</v>
      </c>
      <c r="J31" t="str">
        <f>IF(TRIM([1]raw_data!J31)="",
"-",
TRIM(IF(VALUE(SUBSTITUTE(TRIM([1]raw_data!J31),"%",""))&gt;100,
"CHECK",
VALUE(SUBSTITUTE([1]raw_data!J31,"%","")))))</f>
        <v>-</v>
      </c>
      <c r="K31" t="str">
        <f>IF(LEN(TRIM(SUBSTITUTE([1]raw_data!K31,CHAR(160),"")))=0,
"REQ",
SUBSTITUTE(SUBSTITUTE([1]raw_data!K31,"-","")," ",""))</f>
        <v>REQ</v>
      </c>
    </row>
    <row r="32" spans="1:11" x14ac:dyDescent="0.25">
      <c r="A32" t="s">
        <v>29</v>
      </c>
      <c r="B32" t="str">
        <f>PROPER(TRIM([1]raw_data!B32))</f>
        <v>Sneha</v>
      </c>
      <c r="C32" t="str">
        <f>IF(OR(LOWER(TRIM([1]raw_data!C32))="male",LOWER(TRIM([1]raw_data!C32))="m"),"Male",IF(OR(LOWER(TRIM([1]raw_data!C32))="female",LOWER(TRIM([1]raw_data!C32))="f",LOWER(TRIM([1]raw_data!C32))="fem"),"Female"))</f>
        <v>Male</v>
      </c>
      <c r="D32" t="str">
        <f>IF(TRIM([1]raw_data!D32)=" ","REQ",IF(LOWER(TRIM([1]raw_data!D32))="sixteen",TRIM(16),IF(ISNUMBER(VALUE([1]raw_data!D32)),IF(OR(VALUE([1]raw_data!D32)&lt;10,VALUE([1]raw_data!D32)&gt;=25),TRIM("CHECK"),TRIM(VALUE([1]raw_data!D32))),"FALSE")))</f>
        <v>CHECK</v>
      </c>
      <c r="E32" t="str">
        <f>IF(OR(UPPER(TRIM([1]raw_data!E32))="X",UPPER(TRIM([1]raw_data!E32))="TEN",TRIM([1]raw_data!E32)="10",UPPER(TRIM([1]raw_data!E32))="10TH"),"X","CHECK")</f>
        <v>X</v>
      </c>
      <c r="F32" t="str">
        <f>IF(OR(LOWER(TRIM([1]raw_data!F32))="sec-a",LOWER(TRIM([1]raw_data!F32))="a"),"A",IF(LOWER(TRIM([1]raw_data!F32))="b","B",IF(LOWER(TRIM([1]raw_data!F32))="c","C",[1]raw_data!F32)))</f>
        <v>A</v>
      </c>
      <c r="G32" t="str">
        <f>TRIM(IF(LOWER(TRIM([1]raw_data!G32))="absent","AB",IF(TRIM([1]raw_data!G32)=" ",0,IF(ISNUMBER(VALUE([1]raw_data!G32)),IF(AND(VALUE([1]raw_data!G32)&gt;0,VALUE([1]raw_data!G32)&lt;=100),VALUE([1]raw_data!G32),"0")))))</f>
        <v>0</v>
      </c>
      <c r="H32" t="str">
        <f>TRIM(IF(LOWER(TRIM([1]raw_data!H32))="na","NA",IF(TRIM([1]raw_data!H32)=" ",0,IF(ISNUMBER(VALUE([1]raw_data!H32)),IF(AND(VALUE([1]raw_data!H32)&gt;0,VALUE([1]raw_data!H32)&lt;=100),VALUE([1]raw_data!H32),"0")))))</f>
        <v>NA</v>
      </c>
      <c r="I32" t="str">
        <f>TRIM(IF(LOWER(TRIM([1]raw_data!I32))="n/a","NA",IF(TRIM([1]raw_data!I32)=" ",0,IF(ISNUMBER(VALUE([1]raw_data!I32)),IF(AND(VALUE([1]raw_data!I32)&gt;0,VALUE([1]raw_data!I32)&lt;=100),VALUE([1]raw_data!G32),"0")))))</f>
        <v>0</v>
      </c>
      <c r="J32" t="str">
        <f>IF(TRIM([1]raw_data!J32)="",
"-",
TRIM(IF(VALUE(SUBSTITUTE(TRIM([1]raw_data!J32),"%",""))&gt;100,
"CHECK",
VALUE(SUBSTITUTE([1]raw_data!J32,"%","")))))</f>
        <v>60</v>
      </c>
      <c r="K32" t="str">
        <f>IF(LEN(TRIM(SUBSTITUTE([1]raw_data!K32,CHAR(160),"")))=0,
"REQ",
SUBSTITUTE(SUBSTITUTE([1]raw_data!K32,"-","")," ",""))</f>
        <v>REQ</v>
      </c>
    </row>
    <row r="33" spans="1:11" x14ac:dyDescent="0.25">
      <c r="A33" t="s">
        <v>28</v>
      </c>
      <c r="B33" t="str">
        <f>PROPER(TRIM([1]raw_data!B33))</f>
        <v>Aarav</v>
      </c>
      <c r="C33" t="str">
        <f>IF(OR(LOWER(TRIM([1]raw_data!C33))="male",LOWER(TRIM([1]raw_data!C33))="m"),"Male",IF(OR(LOWER(TRIM([1]raw_data!C33))="female",LOWER(TRIM([1]raw_data!C33))="f",LOWER(TRIM([1]raw_data!C33))="fem"),"Female"))</f>
        <v>Female</v>
      </c>
      <c r="D33" t="str">
        <f>IF(TRIM([1]raw_data!D33)=" ","REQ",IF(LOWER(TRIM([1]raw_data!D33))="sixteen",TRIM(16),IF(ISNUMBER(VALUE([1]raw_data!D33)),IF(OR(VALUE([1]raw_data!D33)&lt;10,VALUE([1]raw_data!D33)&gt;=25),TRIM("CHECK"),TRIM(VALUE([1]raw_data!D33))),"FALSE")))</f>
        <v>CHECK</v>
      </c>
      <c r="E33" t="str">
        <f>IF(OR(UPPER(TRIM([1]raw_data!E33))="X",UPPER(TRIM([1]raw_data!E33))="TEN",TRIM([1]raw_data!E33)="10",UPPER(TRIM([1]raw_data!E33))="10TH"),"X","CHECK")</f>
        <v>X</v>
      </c>
      <c r="F33" t="str">
        <f>IF(OR(LOWER(TRIM([1]raw_data!F33))="sec-a",LOWER(TRIM([1]raw_data!F33))="a"),"A",IF(LOWER(TRIM([1]raw_data!F33))="b","B",IF(LOWER(TRIM([1]raw_data!F33))="c","C",[1]raw_data!F33)))</f>
        <v>B</v>
      </c>
      <c r="G33" t="str">
        <f>TRIM(IF(LOWER(TRIM([1]raw_data!G33))="absent","AB",IF(TRIM([1]raw_data!G33)=" ",0,IF(ISNUMBER(VALUE([1]raw_data!G33)),IF(AND(VALUE([1]raw_data!G33)&gt;0,VALUE([1]raw_data!G33)&lt;=100),VALUE([1]raw_data!G33),"0")))))</f>
        <v>0</v>
      </c>
      <c r="H33" t="str">
        <f>TRIM(IF(LOWER(TRIM([1]raw_data!H33))="na","NA",IF(TRIM([1]raw_data!H33)=" ",0,IF(ISNUMBER(VALUE([1]raw_data!H33)),IF(AND(VALUE([1]raw_data!H33)&gt;0,VALUE([1]raw_data!H33)&lt;=100),VALUE([1]raw_data!H33),"0")))))</f>
        <v>NA</v>
      </c>
      <c r="I33" t="str">
        <f>TRIM(IF(LOWER(TRIM([1]raw_data!I33))="n/a","NA",IF(TRIM([1]raw_data!I33)=" ",0,IF(ISNUMBER(VALUE([1]raw_data!I33)),IF(AND(VALUE([1]raw_data!I33)&gt;0,VALUE([1]raw_data!I33)&lt;=100),VALUE([1]raw_data!G33),"0")))))</f>
        <v>0</v>
      </c>
      <c r="J33" t="str">
        <f>IF(TRIM([1]raw_data!J33)="",
"-",
TRIM(IF(VALUE(SUBSTITUTE(TRIM([1]raw_data!J33),"%",""))&gt;100,
"CHECK",
VALUE(SUBSTITUTE([1]raw_data!J33,"%","")))))</f>
        <v>61</v>
      </c>
      <c r="K33" t="str">
        <f>IF(LEN(TRIM(SUBSTITUTE([1]raw_data!K33,CHAR(160),"")))=0,
"REQ",
SUBSTITUTE(SUBSTITUTE([1]raw_data!K33,"-","")," ",""))</f>
        <v>REQ</v>
      </c>
    </row>
    <row r="34" spans="1:11" x14ac:dyDescent="0.25">
      <c r="A34" t="s">
        <v>27</v>
      </c>
      <c r="B34" t="str">
        <f>PROPER(TRIM([1]raw_data!B34))</f>
        <v>Diya</v>
      </c>
      <c r="C34" t="str">
        <f>IF(OR(LOWER(TRIM([1]raw_data!C34))="male",LOWER(TRIM([1]raw_data!C34))="m"),"Male",IF(OR(LOWER(TRIM([1]raw_data!C34))="female",LOWER(TRIM([1]raw_data!C34))="f",LOWER(TRIM([1]raw_data!C34))="fem"),"Female"))</f>
        <v>Male</v>
      </c>
      <c r="D34" t="str">
        <f>IF(TRIM([1]raw_data!D34)=" ","REQ",IF(LOWER(TRIM([1]raw_data!D34))="sixteen",TRIM(16),IF(ISNUMBER(VALUE([1]raw_data!D34)),IF(OR(VALUE([1]raw_data!D34)&lt;10,VALUE([1]raw_data!D34)&gt;=25),TRIM("CHECK"),TRIM(VALUE([1]raw_data!D34))),"FALSE")))</f>
        <v>CHECK</v>
      </c>
      <c r="E34" t="str">
        <f>IF(OR(UPPER(TRIM([1]raw_data!E34))="X",UPPER(TRIM([1]raw_data!E34))="TEN",TRIM([1]raw_data!E34)="10",UPPER(TRIM([1]raw_data!E34))="10TH"),"X","CHECK")</f>
        <v>X</v>
      </c>
      <c r="F34" t="str">
        <f>IF(OR(LOWER(TRIM([1]raw_data!F34))="sec-a",LOWER(TRIM([1]raw_data!F34))="a"),"A",IF(LOWER(TRIM([1]raw_data!F34))="b","B",IF(LOWER(TRIM([1]raw_data!F34))="c","C",[1]raw_data!F34)))</f>
        <v>B</v>
      </c>
      <c r="G34" t="str">
        <f>TRIM(IF(LOWER(TRIM([1]raw_data!G34))="absent","AB",IF(TRIM([1]raw_data!G34)=" ",0,IF(ISNUMBER(VALUE([1]raw_data!G34)),IF(AND(VALUE([1]raw_data!G34)&gt;0,VALUE([1]raw_data!G34)&lt;=100),VALUE([1]raw_data!G34),"0")))))</f>
        <v>0</v>
      </c>
      <c r="H34" t="str">
        <f>TRIM(IF(LOWER(TRIM([1]raw_data!H34))="na","NA",IF(TRIM([1]raw_data!H34)=" ",0,IF(ISNUMBER(VALUE([1]raw_data!H34)),IF(AND(VALUE([1]raw_data!H34)&gt;0,VALUE([1]raw_data!H34)&lt;=100),VALUE([1]raw_data!H34),"0")))))</f>
        <v>0</v>
      </c>
      <c r="I34" t="str">
        <f>TRIM(IF(LOWER(TRIM([1]raw_data!I34))="n/a","NA",IF(TRIM([1]raw_data!I34)=" ",0,IF(ISNUMBER(VALUE([1]raw_data!I34)),IF(AND(VALUE([1]raw_data!I34)&gt;0,VALUE([1]raw_data!I34)&lt;=100),VALUE([1]raw_data!G34),"0")))))</f>
        <v>-5</v>
      </c>
      <c r="J34" t="str">
        <f>IF(TRIM([1]raw_data!J34)="",
"-",
TRIM(IF(VALUE(SUBSTITUTE(TRIM([1]raw_data!J34),"%",""))&gt;100,
"CHECK",
VALUE(SUBSTITUTE([1]raw_data!J34,"%","")))))</f>
        <v>99</v>
      </c>
      <c r="K34" t="str">
        <f>IF(LEN(TRIM(SUBSTITUTE([1]raw_data!K34,CHAR(160),"")))=0,
"REQ",
SUBSTITUTE(SUBSTITUTE([1]raw_data!K34,"-","")," ",""))</f>
        <v>9876543210</v>
      </c>
    </row>
    <row r="35" spans="1:11" x14ac:dyDescent="0.25">
      <c r="A35" t="s">
        <v>26</v>
      </c>
      <c r="B35" t="str">
        <f>PROPER(TRIM([1]raw_data!B35))</f>
        <v>Pooja Kumar</v>
      </c>
      <c r="C35" t="str">
        <f>IF(OR(LOWER(TRIM([1]raw_data!C35))="male",LOWER(TRIM([1]raw_data!C35))="m"),"Male",IF(OR(LOWER(TRIM([1]raw_data!C35))="female",LOWER(TRIM([1]raw_data!C35))="f",LOWER(TRIM([1]raw_data!C35))="fem"),"Female"))</f>
        <v>Male</v>
      </c>
      <c r="D35" t="str">
        <f>IF(TRIM([1]raw_data!D35)=" ","REQ",IF(LOWER(TRIM([1]raw_data!D35))="sixteen",TRIM(16),IF(ISNUMBER(VALUE([1]raw_data!D35)),IF(OR(VALUE([1]raw_data!D35)&lt;10,VALUE([1]raw_data!D35)&gt;=25),TRIM("CHECK"),TRIM(VALUE([1]raw_data!D35))),"FALSE")))</f>
        <v>CHECK</v>
      </c>
      <c r="E35" t="str">
        <f>IF(OR(UPPER(TRIM([1]raw_data!E35))="X",UPPER(TRIM([1]raw_data!E35))="TEN",TRIM([1]raw_data!E35)="10",UPPER(TRIM([1]raw_data!E35))="10TH"),"X","CHECK")</f>
        <v>X</v>
      </c>
      <c r="F35" t="str">
        <f>IF(OR(LOWER(TRIM([1]raw_data!F35))="sec-a",LOWER(TRIM([1]raw_data!F35))="a"),"A",IF(LOWER(TRIM([1]raw_data!F35))="b","B",IF(LOWER(TRIM([1]raw_data!F35))="c","C",[1]raw_data!F35)))</f>
        <v>C</v>
      </c>
      <c r="G35" t="str">
        <f>TRIM(IF(LOWER(TRIM([1]raw_data!G35))="absent","AB",IF(TRIM([1]raw_data!G35)=" ",0,IF(ISNUMBER(VALUE([1]raw_data!G35)),IF(AND(VALUE([1]raw_data!G35)&gt;0,VALUE([1]raw_data!G35)&lt;=100),VALUE([1]raw_data!G35),"0")))))</f>
        <v>AB</v>
      </c>
      <c r="H35" t="str">
        <f>TRIM(IF(LOWER(TRIM([1]raw_data!H35))="na","NA",IF(TRIM([1]raw_data!H35)=" ",0,IF(ISNUMBER(VALUE([1]raw_data!H35)),IF(AND(VALUE([1]raw_data!H35)&gt;0,VALUE([1]raw_data!H35)&lt;=100),VALUE([1]raw_data!H35),"0")))))</f>
        <v>0</v>
      </c>
      <c r="I35" t="str">
        <f>TRIM(IF(LOWER(TRIM([1]raw_data!I35))="n/a","NA",IF(TRIM([1]raw_data!I35)=" ",0,IF(ISNUMBER(VALUE([1]raw_data!I35)),IF(AND(VALUE([1]raw_data!I35)&gt;0,VALUE([1]raw_data!I35)&lt;=100),VALUE([1]raw_data!G35),"0")))))</f>
        <v>0</v>
      </c>
      <c r="J35" t="str">
        <f>IF(TRIM([1]raw_data!J35)="",
"-",
TRIM(IF(VALUE(SUBSTITUTE(TRIM([1]raw_data!J35),"%",""))&gt;100,
"CHECK",
VALUE(SUBSTITUTE([1]raw_data!J35,"%","")))))</f>
        <v>60</v>
      </c>
      <c r="K35" t="str">
        <f>IF(LEN(TRIM(SUBSTITUTE([1]raw_data!K35,CHAR(160),"")))=0,
"REQ",
SUBSTITUTE(SUBSTITUTE([1]raw_data!K35,"-","")," ",""))</f>
        <v>9876543210</v>
      </c>
    </row>
    <row r="36" spans="1:11" x14ac:dyDescent="0.25">
      <c r="A36" t="s">
        <v>25</v>
      </c>
      <c r="B36" t="str">
        <f>PROPER(TRIM([1]raw_data!B36))</f>
        <v>Vivaan</v>
      </c>
      <c r="C36" t="str">
        <f>IF(OR(LOWER(TRIM([1]raw_data!C36))="male",LOWER(TRIM([1]raw_data!C36))="m"),"Male",IF(OR(LOWER(TRIM([1]raw_data!C36))="female",LOWER(TRIM([1]raw_data!C36))="f",LOWER(TRIM([1]raw_data!C36))="fem"),"Female"))</f>
        <v>Female</v>
      </c>
      <c r="D36" t="str">
        <f>IF(TRIM([1]raw_data!D36)=" ","REQ",IF(LOWER(TRIM([1]raw_data!D36))="sixteen",TRIM(16),IF(ISNUMBER(VALUE([1]raw_data!D36)),IF(OR(VALUE([1]raw_data!D36)&lt;10,VALUE([1]raw_data!D36)&gt;=25),TRIM("CHECK"),TRIM(VALUE([1]raw_data!D36))),"FALSE")))</f>
        <v>CHECK</v>
      </c>
      <c r="E36" t="str">
        <f>IF(OR(UPPER(TRIM([1]raw_data!E36))="X",UPPER(TRIM([1]raw_data!E36))="TEN",TRIM([1]raw_data!E36)="10",UPPER(TRIM([1]raw_data!E36))="10TH"),"X","CHECK")</f>
        <v>X</v>
      </c>
      <c r="F36" t="str">
        <f>IF(OR(LOWER(TRIM([1]raw_data!F36))="sec-a",LOWER(TRIM([1]raw_data!F36))="a"),"A",IF(LOWER(TRIM([1]raw_data!F36))="b","B",IF(LOWER(TRIM([1]raw_data!F36))="c","C",[1]raw_data!F36)))</f>
        <v>B</v>
      </c>
      <c r="G36" t="str">
        <f>TRIM(IF(LOWER(TRIM([1]raw_data!G36))="absent","AB",IF(TRIM([1]raw_data!G36)=" ",0,IF(ISNUMBER(VALUE([1]raw_data!G36)),IF(AND(VALUE([1]raw_data!G36)&gt;0,VALUE([1]raw_data!G36)&lt;=100),VALUE([1]raw_data!G36),"0")))))</f>
        <v>0</v>
      </c>
      <c r="H36" t="str">
        <f>TRIM(IF(LOWER(TRIM([1]raw_data!H36))="na","NA",IF(TRIM([1]raw_data!H36)=" ",0,IF(ISNUMBER(VALUE([1]raw_data!H36)),IF(AND(VALUE([1]raw_data!H36)&gt;0,VALUE([1]raw_data!H36)&lt;=100),VALUE([1]raw_data!H36),"0")))))</f>
        <v>0</v>
      </c>
      <c r="I36" t="str">
        <f>TRIM(IF(LOWER(TRIM([1]raw_data!I36))="n/a","NA",IF(TRIM([1]raw_data!I36)=" ",0,IF(ISNUMBER(VALUE([1]raw_data!I36)),IF(AND(VALUE([1]raw_data!I36)&gt;0,VALUE([1]raw_data!I36)&lt;=100),VALUE([1]raw_data!G36),"0")))))</f>
        <v>0</v>
      </c>
      <c r="J36" t="str">
        <f>IF(TRIM([1]raw_data!J36)="",
"-",
TRIM(IF(VALUE(SUBSTITUTE(TRIM([1]raw_data!J36),"%",""))&gt;100,
"CHECK",
VALUE(SUBSTITUTE([1]raw_data!J36,"%","")))))</f>
        <v>64</v>
      </c>
      <c r="K36" t="str">
        <f>IF(LEN(TRIM(SUBSTITUTE([1]raw_data!K36,CHAR(160),"")))=0,
"REQ",
SUBSTITUTE(SUBSTITUTE([1]raw_data!K36,"-","")," ",""))</f>
        <v>REQ</v>
      </c>
    </row>
    <row r="37" spans="1:11" x14ac:dyDescent="0.25">
      <c r="A37" t="s">
        <v>24</v>
      </c>
      <c r="B37" t="str">
        <f>PROPER(TRIM([1]raw_data!B37))</f>
        <v>Kabir</v>
      </c>
      <c r="C37" t="str">
        <f>IF(OR(LOWER(TRIM([1]raw_data!C37))="male",LOWER(TRIM([1]raw_data!C37))="m"),"Male",IF(OR(LOWER(TRIM([1]raw_data!C37))="female",LOWER(TRIM([1]raw_data!C37))="f",LOWER(TRIM([1]raw_data!C37))="fem"),"Female"))</f>
        <v>Male</v>
      </c>
      <c r="D37" t="str">
        <f>IF(TRIM([1]raw_data!D37)=" ","REQ",IF(LOWER(TRIM([1]raw_data!D37))="sixteen",TRIM(16),IF(ISNUMBER(VALUE([1]raw_data!D37)),IF(OR(VALUE([1]raw_data!D37)&lt;10,VALUE([1]raw_data!D37)&gt;=25),TRIM("CHECK"),TRIM(VALUE([1]raw_data!D37))),"FALSE")))</f>
        <v>CHECK</v>
      </c>
      <c r="E37" t="str">
        <f>IF(OR(UPPER(TRIM([1]raw_data!E37))="X",UPPER(TRIM([1]raw_data!E37))="TEN",TRIM([1]raw_data!E37)="10",UPPER(TRIM([1]raw_data!E37))="10TH"),"X","CHECK")</f>
        <v>X</v>
      </c>
      <c r="F37" t="str">
        <f>IF(OR(LOWER(TRIM([1]raw_data!F37))="sec-a",LOWER(TRIM([1]raw_data!F37))="a"),"A",IF(LOWER(TRIM([1]raw_data!F37))="b","B",IF(LOWER(TRIM([1]raw_data!F37))="c","C",[1]raw_data!F37)))</f>
        <v>A</v>
      </c>
      <c r="G37" t="str">
        <f>TRIM(IF(LOWER(TRIM([1]raw_data!G37))="absent","AB",IF(TRIM([1]raw_data!G37)=" ",0,IF(ISNUMBER(VALUE([1]raw_data!G37)),IF(AND(VALUE([1]raw_data!G37)&gt;0,VALUE([1]raw_data!G37)&lt;=100),VALUE([1]raw_data!G37),"0")))))</f>
        <v>0</v>
      </c>
      <c r="H37" t="str">
        <f>TRIM(IF(LOWER(TRIM([1]raw_data!H37))="na","NA",IF(TRIM([1]raw_data!H37)=" ",0,IF(ISNUMBER(VALUE([1]raw_data!H37)),IF(AND(VALUE([1]raw_data!H37)&gt;0,VALUE([1]raw_data!H37)&lt;=100),VALUE([1]raw_data!H37),"0")))))</f>
        <v>0</v>
      </c>
      <c r="I37" t="str">
        <f>TRIM(IF(LOWER(TRIM([1]raw_data!I37))="n/a","NA",IF(TRIM([1]raw_data!I37)=" ",0,IF(ISNUMBER(VALUE([1]raw_data!I37)),IF(AND(VALUE([1]raw_data!I37)&gt;0,VALUE([1]raw_data!I37)&lt;=100),VALUE([1]raw_data!G37),"0")))))</f>
        <v>NA</v>
      </c>
      <c r="J37" t="str">
        <f>IF(TRIM([1]raw_data!J37)="",
"-",
TRIM(IF(VALUE(SUBSTITUTE(TRIM([1]raw_data!J37),"%",""))&gt;100,
"CHECK",
VALUE(SUBSTITUTE([1]raw_data!J37,"%","")))))</f>
        <v>-</v>
      </c>
      <c r="K37" t="str">
        <f>IF(LEN(TRIM(SUBSTITUTE([1]raw_data!K37,CHAR(160),"")))=0,
"REQ",
SUBSTITUTE(SUBSTITUTE([1]raw_data!K37,"-","")," ",""))</f>
        <v>REQ</v>
      </c>
    </row>
    <row r="38" spans="1:11" x14ac:dyDescent="0.25">
      <c r="A38" t="s">
        <v>23</v>
      </c>
      <c r="B38" t="str">
        <f>PROPER(TRIM([1]raw_data!B38))</f>
        <v>Rahul</v>
      </c>
      <c r="C38" t="str">
        <f>IF(OR(LOWER(TRIM([1]raw_data!C38))="male",LOWER(TRIM([1]raw_data!C38))="m"),"Male",IF(OR(LOWER(TRIM([1]raw_data!C38))="female",LOWER(TRIM([1]raw_data!C38))="f",LOWER(TRIM([1]raw_data!C38))="fem"),"Female"))</f>
        <v>Male</v>
      </c>
      <c r="D38" t="str">
        <f>IF(TRIM([1]raw_data!D38)=" ","REQ",IF(LOWER(TRIM([1]raw_data!D38))="sixteen",TRIM(16),IF(ISNUMBER(VALUE([1]raw_data!D38)),IF(OR(VALUE([1]raw_data!D38)&lt;10,VALUE([1]raw_data!D38)&gt;=25),TRIM("CHECK"),TRIM(VALUE([1]raw_data!D38))),"FALSE")))</f>
        <v>14</v>
      </c>
      <c r="E38" t="str">
        <f>IF(OR(UPPER(TRIM([1]raw_data!E38))="X",UPPER(TRIM([1]raw_data!E38))="TEN",TRIM([1]raw_data!E38)="10",UPPER(TRIM([1]raw_data!E38))="10TH"),"X","CHECK")</f>
        <v>X</v>
      </c>
      <c r="F38" t="str">
        <f>IF(OR(LOWER(TRIM([1]raw_data!F38))="sec-a",LOWER(TRIM([1]raw_data!F38))="a"),"A",IF(LOWER(TRIM([1]raw_data!F38))="b","B",IF(LOWER(TRIM([1]raw_data!F38))="c","C",[1]raw_data!F38)))</f>
        <v>A</v>
      </c>
      <c r="G38" t="str">
        <f>TRIM(IF(LOWER(TRIM([1]raw_data!G38))="absent","AB",IF(TRIM([1]raw_data!G38)=" ",0,IF(ISNUMBER(VALUE([1]raw_data!G38)),IF(AND(VALUE([1]raw_data!G38)&gt;0,VALUE([1]raw_data!G38)&lt;=100),VALUE([1]raw_data!G38),"0")))))</f>
        <v>0</v>
      </c>
      <c r="H38" t="str">
        <f>TRIM(IF(LOWER(TRIM([1]raw_data!H38))="na","NA",IF(TRIM([1]raw_data!H38)=" ",0,IF(ISNUMBER(VALUE([1]raw_data!H38)),IF(AND(VALUE([1]raw_data!H38)&gt;0,VALUE([1]raw_data!H38)&lt;=100),VALUE([1]raw_data!H38),"0")))))</f>
        <v>0</v>
      </c>
      <c r="I38" t="str">
        <f>TRIM(IF(LOWER(TRIM([1]raw_data!I38))="n/a","NA",IF(TRIM([1]raw_data!I38)=" ",0,IF(ISNUMBER(VALUE([1]raw_data!I38)),IF(AND(VALUE([1]raw_data!I38)&gt;0,VALUE([1]raw_data!I38)&lt;=100),VALUE([1]raw_data!G38),"0")))))</f>
        <v>NA</v>
      </c>
      <c r="J38" t="str">
        <f>IF(TRIM([1]raw_data!J38)="",
"-",
TRIM(IF(VALUE(SUBSTITUTE(TRIM([1]raw_data!J38),"%",""))&gt;100,
"CHECK",
VALUE(SUBSTITUTE([1]raw_data!J38,"%","")))))</f>
        <v>-</v>
      </c>
      <c r="K38" t="str">
        <f>IF(LEN(TRIM(SUBSTITUTE([1]raw_data!K38,CHAR(160),"")))=0,
"REQ",
SUBSTITUTE(SUBSTITUTE([1]raw_data!K38,"-","")," ",""))</f>
        <v>REQ</v>
      </c>
    </row>
    <row r="39" spans="1:11" x14ac:dyDescent="0.25">
      <c r="A39" t="s">
        <v>22</v>
      </c>
      <c r="B39" t="str">
        <f>PROPER(TRIM([1]raw_data!B39))</f>
        <v>Diya</v>
      </c>
      <c r="C39" t="str">
        <f>IF(OR(LOWER(TRIM([1]raw_data!C39))="male",LOWER(TRIM([1]raw_data!C39))="m"),"Male",IF(OR(LOWER(TRIM([1]raw_data!C39))="female",LOWER(TRIM([1]raw_data!C39))="f",LOWER(TRIM([1]raw_data!C39))="fem"),"Female"))</f>
        <v>Female</v>
      </c>
      <c r="D39" t="str">
        <f>IF(TRIM([1]raw_data!D39)=" ","REQ",IF(LOWER(TRIM([1]raw_data!D39))="sixteen",TRIM(16),IF(ISNUMBER(VALUE([1]raw_data!D39)),IF(OR(VALUE([1]raw_data!D39)&lt;10,VALUE([1]raw_data!D39)&gt;=25),TRIM("CHECK"),TRIM(VALUE([1]raw_data!D39))),"FALSE")))</f>
        <v>16</v>
      </c>
      <c r="E39" t="str">
        <f>IF(OR(UPPER(TRIM([1]raw_data!E39))="X",UPPER(TRIM([1]raw_data!E39))="TEN",TRIM([1]raw_data!E39)="10",UPPER(TRIM([1]raw_data!E39))="10TH"),"X","CHECK")</f>
        <v>X</v>
      </c>
      <c r="F39" t="str">
        <f>IF(OR(LOWER(TRIM([1]raw_data!F39))="sec-a",LOWER(TRIM([1]raw_data!F39))="a"),"A",IF(LOWER(TRIM([1]raw_data!F39))="b","B",IF(LOWER(TRIM([1]raw_data!F39))="c","C",[1]raw_data!F39)))</f>
        <v>C</v>
      </c>
      <c r="G39" t="str">
        <f>TRIM(IF(LOWER(TRIM([1]raw_data!G39))="absent","AB",IF(TRIM([1]raw_data!G39)=" ",0,IF(ISNUMBER(VALUE([1]raw_data!G39)),IF(AND(VALUE([1]raw_data!G39)&gt;0,VALUE([1]raw_data!G39)&lt;=100),VALUE([1]raw_data!G39),"0")))))</f>
        <v>AB</v>
      </c>
      <c r="H39" t="str">
        <f>TRIM(IF(LOWER(TRIM([1]raw_data!H39))="na","NA",IF(TRIM([1]raw_data!H39)=" ",0,IF(ISNUMBER(VALUE([1]raw_data!H39)),IF(AND(VALUE([1]raw_data!H39)&gt;0,VALUE([1]raw_data!H39)&lt;=100),VALUE([1]raw_data!H39),"0")))))</f>
        <v>0</v>
      </c>
      <c r="I39" t="str">
        <f>TRIM(IF(LOWER(TRIM([1]raw_data!I39))="n/a","NA",IF(TRIM([1]raw_data!I39)=" ",0,IF(ISNUMBER(VALUE([1]raw_data!I39)),IF(AND(VALUE([1]raw_data!I39)&gt;0,VALUE([1]raw_data!I39)&lt;=100),VALUE([1]raw_data!G39),"0")))))</f>
        <v>NA</v>
      </c>
      <c r="J39" t="str">
        <f>IF(TRIM([1]raw_data!J39)="",
"-",
TRIM(IF(VALUE(SUBSTITUTE(TRIM([1]raw_data!J39),"%",""))&gt;100,
"CHECK",
VALUE(SUBSTITUTE([1]raw_data!J39,"%","")))))</f>
        <v>79</v>
      </c>
      <c r="K39" t="str">
        <f>IF(LEN(TRIM(SUBSTITUTE([1]raw_data!K39,CHAR(160),"")))=0,
"REQ",
SUBSTITUTE(SUBSTITUTE([1]raw_data!K39,"-","")," ",""))</f>
        <v>9876543210</v>
      </c>
    </row>
    <row r="40" spans="1:11" x14ac:dyDescent="0.25">
      <c r="A40" t="s">
        <v>21</v>
      </c>
      <c r="B40" t="str">
        <f>PROPER(TRIM([1]raw_data!B40))</f>
        <v>Aarav</v>
      </c>
      <c r="C40" t="str">
        <f>IF(OR(LOWER(TRIM([1]raw_data!C40))="male",LOWER(TRIM([1]raw_data!C40))="m"),"Male",IF(OR(LOWER(TRIM([1]raw_data!C40))="female",LOWER(TRIM([1]raw_data!C40))="f",LOWER(TRIM([1]raw_data!C40))="fem"),"Female"))</f>
        <v>Female</v>
      </c>
      <c r="D40" t="str">
        <f>IF(TRIM([1]raw_data!D40)=" ","REQ",IF(LOWER(TRIM([1]raw_data!D40))="sixteen",TRIM(16),IF(ISNUMBER(VALUE([1]raw_data!D40)),IF(OR(VALUE([1]raw_data!D40)&lt;10,VALUE([1]raw_data!D40)&gt;=25),TRIM("CHECK"),TRIM(VALUE([1]raw_data!D40))),"FALSE")))</f>
        <v>CHECK</v>
      </c>
      <c r="E40" t="str">
        <f>IF(OR(UPPER(TRIM([1]raw_data!E40))="X",UPPER(TRIM([1]raw_data!E40))="TEN",TRIM([1]raw_data!E40)="10",UPPER(TRIM([1]raw_data!E40))="10TH"),"X","CHECK")</f>
        <v>X</v>
      </c>
      <c r="F40" t="str">
        <f>IF(OR(LOWER(TRIM([1]raw_data!F40))="sec-a",LOWER(TRIM([1]raw_data!F40))="a"),"A",IF(LOWER(TRIM([1]raw_data!F40))="b","B",IF(LOWER(TRIM([1]raw_data!F40))="c","C",[1]raw_data!F40)))</f>
        <v>A</v>
      </c>
      <c r="G40" t="str">
        <f>TRIM(IF(LOWER(TRIM([1]raw_data!G40))="absent","AB",IF(TRIM([1]raw_data!G40)=" ",0,IF(ISNUMBER(VALUE([1]raw_data!G40)),IF(AND(VALUE([1]raw_data!G40)&gt;0,VALUE([1]raw_data!G40)&lt;=100),VALUE([1]raw_data!G40),"0")))))</f>
        <v>57</v>
      </c>
      <c r="H40" t="str">
        <f>TRIM(IF(LOWER(TRIM([1]raw_data!H40))="na","NA",IF(TRIM([1]raw_data!H40)=" ",0,IF(ISNUMBER(VALUE([1]raw_data!H40)),IF(AND(VALUE([1]raw_data!H40)&gt;0,VALUE([1]raw_data!H40)&lt;=100),VALUE([1]raw_data!H40),"0")))))</f>
        <v>0</v>
      </c>
      <c r="I40" t="str">
        <f>TRIM(IF(LOWER(TRIM([1]raw_data!I40))="n/a","NA",IF(TRIM([1]raw_data!I40)=" ",0,IF(ISNUMBER(VALUE([1]raw_data!I40)),IF(AND(VALUE([1]raw_data!I40)&gt;0,VALUE([1]raw_data!I40)&lt;=100),VALUE([1]raw_data!G40),"0")))))</f>
        <v>0</v>
      </c>
      <c r="J40" t="str">
        <f>IF(TRIM([1]raw_data!J40)="",
"-",
TRIM(IF(VALUE(SUBSTITUTE(TRIM([1]raw_data!J40),"%",""))&gt;100,
"CHECK",
VALUE(SUBSTITUTE([1]raw_data!J40,"%","")))))</f>
        <v>91</v>
      </c>
      <c r="K40" t="str">
        <f>IF(LEN(TRIM(SUBSTITUTE([1]raw_data!K40,CHAR(160),"")))=0,
"REQ",
SUBSTITUTE(SUBSTITUTE([1]raw_data!K40,"-","")," ",""))</f>
        <v>9876543210</v>
      </c>
    </row>
    <row r="41" spans="1:11" x14ac:dyDescent="0.25">
      <c r="A41" t="s">
        <v>20</v>
      </c>
      <c r="B41" t="str">
        <f>PROPER(TRIM([1]raw_data!B41))</f>
        <v>Rahul</v>
      </c>
      <c r="C41" t="str">
        <f>IF(OR(LOWER(TRIM([1]raw_data!C41))="male",LOWER(TRIM([1]raw_data!C41))="m"),"Male",IF(OR(LOWER(TRIM([1]raw_data!C41))="female",LOWER(TRIM([1]raw_data!C41))="f",LOWER(TRIM([1]raw_data!C41))="fem"),"Female"))</f>
        <v>Male</v>
      </c>
      <c r="D41" t="str">
        <f>IF(TRIM([1]raw_data!D41)=" ","REQ",IF(LOWER(TRIM([1]raw_data!D41))="sixteen",TRIM(16),IF(ISNUMBER(VALUE([1]raw_data!D41)),IF(OR(VALUE([1]raw_data!D41)&lt;10,VALUE([1]raw_data!D41)&gt;=25),TRIM("CHECK"),TRIM(VALUE([1]raw_data!D41))),"FALSE")))</f>
        <v>16</v>
      </c>
      <c r="E41" t="str">
        <f>IF(OR(UPPER(TRIM([1]raw_data!E41))="X",UPPER(TRIM([1]raw_data!E41))="TEN",TRIM([1]raw_data!E41)="10",UPPER(TRIM([1]raw_data!E41))="10TH"),"X","CHECK")</f>
        <v>X</v>
      </c>
      <c r="F41" t="str">
        <f>IF(OR(LOWER(TRIM([1]raw_data!F41))="sec-a",LOWER(TRIM([1]raw_data!F41))="a"),"A",IF(LOWER(TRIM([1]raw_data!F41))="b","B",IF(LOWER(TRIM([1]raw_data!F41))="c","C",[1]raw_data!F41)))</f>
        <v>A</v>
      </c>
      <c r="G41" t="str">
        <f>TRIM(IF(LOWER(TRIM([1]raw_data!G41))="absent","AB",IF(TRIM([1]raw_data!G41)=" ",0,IF(ISNUMBER(VALUE([1]raw_data!G41)),IF(AND(VALUE([1]raw_data!G41)&gt;0,VALUE([1]raw_data!G41)&lt;=100),VALUE([1]raw_data!G41),"0")))))</f>
        <v>79</v>
      </c>
      <c r="H41" t="str">
        <f>TRIM(IF(LOWER(TRIM([1]raw_data!H41))="na","NA",IF(TRIM([1]raw_data!H41)=" ",0,IF(ISNUMBER(VALUE([1]raw_data!H41)),IF(AND(VALUE([1]raw_data!H41)&gt;0,VALUE([1]raw_data!H41)&lt;=100),VALUE([1]raw_data!H41),"0")))))</f>
        <v>0</v>
      </c>
      <c r="I41" t="str">
        <f>TRIM(IF(LOWER(TRIM([1]raw_data!I41))="n/a","NA",IF(TRIM([1]raw_data!I41)=" ",0,IF(ISNUMBER(VALUE([1]raw_data!I41)),IF(AND(VALUE([1]raw_data!I41)&gt;0,VALUE([1]raw_data!I41)&lt;=100),VALUE([1]raw_data!G41),"0")))))</f>
        <v>0</v>
      </c>
      <c r="J41" t="str">
        <f>IF(TRIM([1]raw_data!J41)="",
"-",
TRIM(IF(VALUE(SUBSTITUTE(TRIM([1]raw_data!J41),"%",""))&gt;100,
"CHECK",
VALUE(SUBSTITUTE([1]raw_data!J41,"%","")))))</f>
        <v>-</v>
      </c>
      <c r="K41" t="str">
        <f>IF(LEN(TRIM(SUBSTITUTE([1]raw_data!K41,CHAR(160),"")))=0,
"REQ",
SUBSTITUTE(SUBSTITUTE([1]raw_data!K41,"-","")," ",""))</f>
        <v>9876543210</v>
      </c>
    </row>
    <row r="42" spans="1:11" x14ac:dyDescent="0.25">
      <c r="A42" t="s">
        <v>19</v>
      </c>
      <c r="B42" t="str">
        <f>PROPER(TRIM([1]raw_data!B42))</f>
        <v>Isha</v>
      </c>
      <c r="C42" t="str">
        <f>IF(OR(LOWER(TRIM([1]raw_data!C42))="male",LOWER(TRIM([1]raw_data!C42))="m"),"Male",IF(OR(LOWER(TRIM([1]raw_data!C42))="female",LOWER(TRIM([1]raw_data!C42))="f",LOWER(TRIM([1]raw_data!C42))="fem"),"Female"))</f>
        <v>Male</v>
      </c>
      <c r="D42" t="str">
        <f>IF(TRIM([1]raw_data!D42)=" ","REQ",IF(LOWER(TRIM([1]raw_data!D42))="sixteen",TRIM(16),IF(ISNUMBER(VALUE([1]raw_data!D42)),IF(OR(VALUE([1]raw_data!D42)&lt;10,VALUE([1]raw_data!D42)&gt;=25),TRIM("CHECK"),TRIM(VALUE([1]raw_data!D42))),"FALSE")))</f>
        <v>CHECK</v>
      </c>
      <c r="E42" t="str">
        <f>IF(OR(UPPER(TRIM([1]raw_data!E42))="X",UPPER(TRIM([1]raw_data!E42))="TEN",TRIM([1]raw_data!E42)="10",UPPER(TRIM([1]raw_data!E42))="10TH"),"X","CHECK")</f>
        <v>X</v>
      </c>
      <c r="F42" t="str">
        <f>IF(OR(LOWER(TRIM([1]raw_data!F42))="sec-a",LOWER(TRIM([1]raw_data!F42))="a"),"A",IF(LOWER(TRIM([1]raw_data!F42))="b","B",IF(LOWER(TRIM([1]raw_data!F42))="c","C",[1]raw_data!F42)))</f>
        <v>A</v>
      </c>
      <c r="G42" t="str">
        <f>TRIM(IF(LOWER(TRIM([1]raw_data!G42))="absent","AB",IF(TRIM([1]raw_data!G42)=" ",0,IF(ISNUMBER(VALUE([1]raw_data!G42)),IF(AND(VALUE([1]raw_data!G42)&gt;0,VALUE([1]raw_data!G42)&lt;=100),VALUE([1]raw_data!G42),"0")))))</f>
        <v>0</v>
      </c>
      <c r="H42" t="str">
        <f>TRIM(IF(LOWER(TRIM([1]raw_data!H42))="na","NA",IF(TRIM([1]raw_data!H42)=" ",0,IF(ISNUMBER(VALUE([1]raw_data!H42)),IF(AND(VALUE([1]raw_data!H42)&gt;0,VALUE([1]raw_data!H42)&lt;=100),VALUE([1]raw_data!H42),"0")))))</f>
        <v>NA</v>
      </c>
      <c r="I42" t="str">
        <f>TRIM(IF(LOWER(TRIM([1]raw_data!I42))="n/a","NA",IF(TRIM([1]raw_data!I42)=" ",0,IF(ISNUMBER(VALUE([1]raw_data!I42)),IF(AND(VALUE([1]raw_data!I42)&gt;0,VALUE([1]raw_data!I42)&lt;=100),VALUE([1]raw_data!G42),"0")))))</f>
        <v>-5</v>
      </c>
      <c r="J42" t="str">
        <f>IF(TRIM([1]raw_data!J42)="",
"-",
TRIM(IF(VALUE(SUBSTITUTE(TRIM([1]raw_data!J42),"%",""))&gt;100,
"CHECK",
VALUE(SUBSTITUTE([1]raw_data!J42,"%","")))))</f>
        <v>94</v>
      </c>
      <c r="K42" t="str">
        <f>IF(LEN(TRIM(SUBSTITUTE([1]raw_data!K42,CHAR(160),"")))=0,
"REQ",
SUBSTITUTE(SUBSTITUTE([1]raw_data!K42,"-","")," ",""))</f>
        <v>9876543210</v>
      </c>
    </row>
    <row r="43" spans="1:11" x14ac:dyDescent="0.25">
      <c r="A43" t="s">
        <v>18</v>
      </c>
      <c r="B43" t="str">
        <f>PROPER(TRIM([1]raw_data!B43))</f>
        <v>Aarav</v>
      </c>
      <c r="C43" t="str">
        <f>IF(OR(LOWER(TRIM([1]raw_data!C43))="male",LOWER(TRIM([1]raw_data!C43))="m"),"Male",IF(OR(LOWER(TRIM([1]raw_data!C43))="female",LOWER(TRIM([1]raw_data!C43))="f",LOWER(TRIM([1]raw_data!C43))="fem"),"Female"))</f>
        <v>Male</v>
      </c>
      <c r="D43" t="str">
        <f>IF(TRIM([1]raw_data!D43)=" ","REQ",IF(LOWER(TRIM([1]raw_data!D43))="sixteen",TRIM(16),IF(ISNUMBER(VALUE([1]raw_data!D43)),IF(OR(VALUE([1]raw_data!D43)&lt;10,VALUE([1]raw_data!D43)&gt;=25),TRIM("CHECK"),TRIM(VALUE([1]raw_data!D43))),"FALSE")))</f>
        <v>CHECK</v>
      </c>
      <c r="E43" t="str">
        <f>IF(OR(UPPER(TRIM([1]raw_data!E43))="X",UPPER(TRIM([1]raw_data!E43))="TEN",TRIM([1]raw_data!E43)="10",UPPER(TRIM([1]raw_data!E43))="10TH"),"X","CHECK")</f>
        <v>X</v>
      </c>
      <c r="F43" t="str">
        <f>IF(OR(LOWER(TRIM([1]raw_data!F43))="sec-a",LOWER(TRIM([1]raw_data!F43))="a"),"A",IF(LOWER(TRIM([1]raw_data!F43))="b","B",IF(LOWER(TRIM([1]raw_data!F43))="c","C",[1]raw_data!F43)))</f>
        <v>A</v>
      </c>
      <c r="G43" t="str">
        <f>TRIM(IF(LOWER(TRIM([1]raw_data!G43))="absent","AB",IF(TRIM([1]raw_data!G43)=" ",0,IF(ISNUMBER(VALUE([1]raw_data!G43)),IF(AND(VALUE([1]raw_data!G43)&gt;0,VALUE([1]raw_data!G43)&lt;=100),VALUE([1]raw_data!G43),"0")))))</f>
        <v>0</v>
      </c>
      <c r="H43" t="str">
        <f>TRIM(IF(LOWER(TRIM([1]raw_data!H43))="na","NA",IF(TRIM([1]raw_data!H43)=" ",0,IF(ISNUMBER(VALUE([1]raw_data!H43)),IF(AND(VALUE([1]raw_data!H43)&gt;0,VALUE([1]raw_data!H43)&lt;=100),VALUE([1]raw_data!H43),"0")))))</f>
        <v>0</v>
      </c>
      <c r="I43" t="str">
        <f>TRIM(IF(LOWER(TRIM([1]raw_data!I43))="n/a","NA",IF(TRIM([1]raw_data!I43)=" ",0,IF(ISNUMBER(VALUE([1]raw_data!I43)),IF(AND(VALUE([1]raw_data!I43)&gt;0,VALUE([1]raw_data!I43)&lt;=100),VALUE([1]raw_data!G43),"0")))))</f>
        <v>NA</v>
      </c>
      <c r="J43" t="str">
        <f>IF(TRIM([1]raw_data!J43)="",
"-",
TRIM(IF(VALUE(SUBSTITUTE(TRIM([1]raw_data!J43),"%",""))&gt;100,
"CHECK",
VALUE(SUBSTITUTE([1]raw_data!J43,"%","")))))</f>
        <v>-</v>
      </c>
      <c r="K43" t="str">
        <f>IF(LEN(TRIM(SUBSTITUTE([1]raw_data!K43,CHAR(160),"")))=0,
"REQ",
SUBSTITUTE(SUBSTITUTE([1]raw_data!K43,"-","")," ",""))</f>
        <v>REQ</v>
      </c>
    </row>
    <row r="44" spans="1:11" x14ac:dyDescent="0.25">
      <c r="A44" t="s">
        <v>17</v>
      </c>
      <c r="B44" t="str">
        <f>PROPER(TRIM([1]raw_data!B44))</f>
        <v>Aditya</v>
      </c>
      <c r="C44" t="str">
        <f>IF(OR(LOWER(TRIM([1]raw_data!C44))="male",LOWER(TRIM([1]raw_data!C44))="m"),"Male",IF(OR(LOWER(TRIM([1]raw_data!C44))="female",LOWER(TRIM([1]raw_data!C44))="f",LOWER(TRIM([1]raw_data!C44))="fem"),"Female"))</f>
        <v>Female</v>
      </c>
      <c r="D44" t="str">
        <f>IF(TRIM([1]raw_data!D44)=" ","REQ",IF(LOWER(TRIM([1]raw_data!D44))="sixteen",TRIM(16),IF(ISNUMBER(VALUE([1]raw_data!D44)),IF(OR(VALUE([1]raw_data!D44)&lt;10,VALUE([1]raw_data!D44)&gt;=25),TRIM("CHECK"),TRIM(VALUE([1]raw_data!D44))),"FALSE")))</f>
        <v>CHECK</v>
      </c>
      <c r="E44" t="str">
        <f>IF(OR(UPPER(TRIM([1]raw_data!E44))="X",UPPER(TRIM([1]raw_data!E44))="TEN",TRIM([1]raw_data!E44)="10",UPPER(TRIM([1]raw_data!E44))="10TH"),"X","CHECK")</f>
        <v>X</v>
      </c>
      <c r="F44" t="str">
        <f>IF(OR(LOWER(TRIM([1]raw_data!F44))="sec-a",LOWER(TRIM([1]raw_data!F44))="a"),"A",IF(LOWER(TRIM([1]raw_data!F44))="b","B",IF(LOWER(TRIM([1]raw_data!F44))="c","C",[1]raw_data!F44)))</f>
        <v>A</v>
      </c>
      <c r="G44" t="str">
        <f>TRIM(IF(LOWER(TRIM([1]raw_data!G44))="absent","AB",IF(TRIM([1]raw_data!G44)=" ",0,IF(ISNUMBER(VALUE([1]raw_data!G44)),IF(AND(VALUE([1]raw_data!G44)&gt;0,VALUE([1]raw_data!G44)&lt;=100),VALUE([1]raw_data!G44),"0")))))</f>
        <v>AB</v>
      </c>
      <c r="H44" t="str">
        <f>TRIM(IF(LOWER(TRIM([1]raw_data!H44))="na","NA",IF(TRIM([1]raw_data!H44)=" ",0,IF(ISNUMBER(VALUE([1]raw_data!H44)),IF(AND(VALUE([1]raw_data!H44)&gt;0,VALUE([1]raw_data!H44)&lt;=100),VALUE([1]raw_data!H44),"0")))))</f>
        <v>0</v>
      </c>
      <c r="I44" t="str">
        <f>TRIM(IF(LOWER(TRIM([1]raw_data!I44))="n/a","NA",IF(TRIM([1]raw_data!I44)=" ",0,IF(ISNUMBER(VALUE([1]raw_data!I44)),IF(AND(VALUE([1]raw_data!I44)&gt;0,VALUE([1]raw_data!I44)&lt;=100),VALUE([1]raw_data!G44),"0")))))</f>
        <v>0</v>
      </c>
      <c r="J44" t="str">
        <f>IF(TRIM([1]raw_data!J44)="",
"-",
TRIM(IF(VALUE(SUBSTITUTE(TRIM([1]raw_data!J44),"%",""))&gt;100,
"CHECK",
VALUE(SUBSTITUTE([1]raw_data!J44,"%","")))))</f>
        <v>-</v>
      </c>
      <c r="K44" t="str">
        <f>IF(LEN(TRIM(SUBSTITUTE([1]raw_data!K44,CHAR(160),"")))=0,
"REQ",
SUBSTITUTE(SUBSTITUTE([1]raw_data!K44,"-","")," ",""))</f>
        <v>REQ</v>
      </c>
    </row>
    <row r="45" spans="1:11" x14ac:dyDescent="0.25">
      <c r="A45" t="s">
        <v>16</v>
      </c>
      <c r="B45" t="str">
        <f>PROPER(TRIM([1]raw_data!B45))</f>
        <v>Pooja</v>
      </c>
      <c r="C45" t="str">
        <f>IF(OR(LOWER(TRIM([1]raw_data!C45))="male",LOWER(TRIM([1]raw_data!C45))="m"),"Male",IF(OR(LOWER(TRIM([1]raw_data!C45))="female",LOWER(TRIM([1]raw_data!C45))="f",LOWER(TRIM([1]raw_data!C45))="fem"),"Female"))</f>
        <v>Female</v>
      </c>
      <c r="D45" t="str">
        <f>IF(TRIM([1]raw_data!D45)=" ","REQ",IF(LOWER(TRIM([1]raw_data!D45))="sixteen",TRIM(16),IF(ISNUMBER(VALUE([1]raw_data!D45)),IF(OR(VALUE([1]raw_data!D45)&lt;10,VALUE([1]raw_data!D45)&gt;=25),TRIM("CHECK"),TRIM(VALUE([1]raw_data!D45))),"FALSE")))</f>
        <v>16</v>
      </c>
      <c r="E45" t="str">
        <f>IF(OR(UPPER(TRIM([1]raw_data!E45))="X",UPPER(TRIM([1]raw_data!E45))="TEN",TRIM([1]raw_data!E45)="10",UPPER(TRIM([1]raw_data!E45))="10TH"),"X","CHECK")</f>
        <v>X</v>
      </c>
      <c r="F45" t="str">
        <f>IF(OR(LOWER(TRIM([1]raw_data!F45))="sec-a",LOWER(TRIM([1]raw_data!F45))="a"),"A",IF(LOWER(TRIM([1]raw_data!F45))="b","B",IF(LOWER(TRIM([1]raw_data!F45))="c","C",[1]raw_data!F45)))</f>
        <v>B</v>
      </c>
      <c r="G45" t="str">
        <f>TRIM(IF(LOWER(TRIM([1]raw_data!G45))="absent","AB",IF(TRIM([1]raw_data!G45)=" ",0,IF(ISNUMBER(VALUE([1]raw_data!G45)),IF(AND(VALUE([1]raw_data!G45)&gt;0,VALUE([1]raw_data!G45)&lt;=100),VALUE([1]raw_data!G45),"0")))))</f>
        <v>0</v>
      </c>
      <c r="H45" t="str">
        <f>TRIM(IF(LOWER(TRIM([1]raw_data!H45))="na","NA",IF(TRIM([1]raw_data!H45)=" ",0,IF(ISNUMBER(VALUE([1]raw_data!H45)),IF(AND(VALUE([1]raw_data!H45)&gt;0,VALUE([1]raw_data!H45)&lt;=100),VALUE([1]raw_data!H45),"0")))))</f>
        <v>NA</v>
      </c>
      <c r="I45" t="str">
        <f>TRIM(IF(LOWER(TRIM([1]raw_data!I45))="n/a","NA",IF(TRIM([1]raw_data!I45)=" ",0,IF(ISNUMBER(VALUE([1]raw_data!I45)),IF(AND(VALUE([1]raw_data!I45)&gt;0,VALUE([1]raw_data!I45)&lt;=100),VALUE([1]raw_data!G45),"0")))))</f>
        <v>0</v>
      </c>
      <c r="J45" t="str">
        <f>IF(TRIM([1]raw_data!J45)="",
"-",
TRIM(IF(VALUE(SUBSTITUTE(TRIM([1]raw_data!J45),"%",""))&gt;100,
"CHECK",
VALUE(SUBSTITUTE([1]raw_data!J45,"%","")))))</f>
        <v>92</v>
      </c>
      <c r="K45" t="str">
        <f>IF(LEN(TRIM(SUBSTITUTE([1]raw_data!K45,CHAR(160),"")))=0,
"REQ",
SUBSTITUTE(SUBSTITUTE([1]raw_data!K45,"-","")," ",""))</f>
        <v>REQ</v>
      </c>
    </row>
    <row r="46" spans="1:11" x14ac:dyDescent="0.25">
      <c r="A46" t="s">
        <v>15</v>
      </c>
      <c r="B46" t="str">
        <f>PROPER(TRIM([1]raw_data!B46))</f>
        <v>Pooja</v>
      </c>
      <c r="C46" t="str">
        <f>IF(OR(LOWER(TRIM([1]raw_data!C46))="male",LOWER(TRIM([1]raw_data!C46))="m"),"Male",IF(OR(LOWER(TRIM([1]raw_data!C46))="female",LOWER(TRIM([1]raw_data!C46))="f",LOWER(TRIM([1]raw_data!C46))="fem"),"Female"))</f>
        <v>Female</v>
      </c>
      <c r="D46" t="str">
        <f>IF(TRIM([1]raw_data!D46)=" ","REQ",IF(LOWER(TRIM([1]raw_data!D46))="sixteen",TRIM(16),IF(ISNUMBER(VALUE([1]raw_data!D46)),IF(OR(VALUE([1]raw_data!D46)&lt;10,VALUE([1]raw_data!D46)&gt;=25),TRIM("CHECK"),TRIM(VALUE([1]raw_data!D46))),"FALSE")))</f>
        <v>16</v>
      </c>
      <c r="E46" t="str">
        <f>IF(OR(UPPER(TRIM([1]raw_data!E46))="X",UPPER(TRIM([1]raw_data!E46))="TEN",TRIM([1]raw_data!E46)="10",UPPER(TRIM([1]raw_data!E46))="10TH"),"X","CHECK")</f>
        <v>X</v>
      </c>
      <c r="F46" t="str">
        <f>IF(OR(LOWER(TRIM([1]raw_data!F46))="sec-a",LOWER(TRIM([1]raw_data!F46))="a"),"A",IF(LOWER(TRIM([1]raw_data!F46))="b","B",IF(LOWER(TRIM([1]raw_data!F46))="c","C",[1]raw_data!F46)))</f>
        <v>C</v>
      </c>
      <c r="G46" t="str">
        <f>TRIM(IF(LOWER(TRIM([1]raw_data!G46))="absent","AB",IF(TRIM([1]raw_data!G46)=" ",0,IF(ISNUMBER(VALUE([1]raw_data!G46)),IF(AND(VALUE([1]raw_data!G46)&gt;0,VALUE([1]raw_data!G46)&lt;=100),VALUE([1]raw_data!G46),"0")))))</f>
        <v>AB</v>
      </c>
      <c r="H46" t="str">
        <f>TRIM(IF(LOWER(TRIM([1]raw_data!H46))="na","NA",IF(TRIM([1]raw_data!H46)=" ",0,IF(ISNUMBER(VALUE([1]raw_data!H46)),IF(AND(VALUE([1]raw_data!H46)&gt;0,VALUE([1]raw_data!H46)&lt;=100),VALUE([1]raw_data!H46),"0")))))</f>
        <v>51</v>
      </c>
      <c r="I46" t="str">
        <f>TRIM(IF(LOWER(TRIM([1]raw_data!I46))="n/a","NA",IF(TRIM([1]raw_data!I46)=" ",0,IF(ISNUMBER(VALUE([1]raw_data!I46)),IF(AND(VALUE([1]raw_data!I46)&gt;0,VALUE([1]raw_data!I46)&lt;=100),VALUE([1]raw_data!G46),"0")))))</f>
        <v>0</v>
      </c>
      <c r="J46" t="str">
        <f>IF(TRIM([1]raw_data!J46)="",
"-",
TRIM(IF(VALUE(SUBSTITUTE(TRIM([1]raw_data!J46),"%",""))&gt;100,
"CHECK",
VALUE(SUBSTITUTE([1]raw_data!J46,"%","")))))</f>
        <v>83</v>
      </c>
      <c r="K46" t="str">
        <f>IF(LEN(TRIM(SUBSTITUTE([1]raw_data!K46,CHAR(160),"")))=0,
"REQ",
SUBSTITUTE(SUBSTITUTE([1]raw_data!K46,"-","")," ",""))</f>
        <v>9876543210</v>
      </c>
    </row>
    <row r="47" spans="1:11" x14ac:dyDescent="0.25">
      <c r="A47" t="s">
        <v>14</v>
      </c>
      <c r="B47" t="str">
        <f>PROPER(TRIM([1]raw_data!B47))</f>
        <v>Sneha</v>
      </c>
      <c r="C47" t="str">
        <f>IF(OR(LOWER(TRIM([1]raw_data!C47))="male",LOWER(TRIM([1]raw_data!C47))="m"),"Male",IF(OR(LOWER(TRIM([1]raw_data!C47))="female",LOWER(TRIM([1]raw_data!C47))="f",LOWER(TRIM([1]raw_data!C47))="fem"),"Female"))</f>
        <v>Female</v>
      </c>
      <c r="D47" t="str">
        <f>IF(TRIM([1]raw_data!D47)=" ","REQ",IF(LOWER(TRIM([1]raw_data!D47))="sixteen",TRIM(16),IF(ISNUMBER(VALUE([1]raw_data!D47)),IF(OR(VALUE([1]raw_data!D47)&lt;10,VALUE([1]raw_data!D47)&gt;=25),TRIM("CHECK"),TRIM(VALUE([1]raw_data!D47))),"FALSE")))</f>
        <v>15</v>
      </c>
      <c r="E47" t="str">
        <f>IF(OR(UPPER(TRIM([1]raw_data!E47))="X",UPPER(TRIM([1]raw_data!E47))="TEN",TRIM([1]raw_data!E47)="10",UPPER(TRIM([1]raw_data!E47))="10TH"),"X","CHECK")</f>
        <v>X</v>
      </c>
      <c r="F47" t="str">
        <f>IF(OR(LOWER(TRIM([1]raw_data!F47))="sec-a",LOWER(TRIM([1]raw_data!F47))="a"),"A",IF(LOWER(TRIM([1]raw_data!F47))="b","B",IF(LOWER(TRIM([1]raw_data!F47))="c","C",[1]raw_data!F47)))</f>
        <v>C</v>
      </c>
      <c r="G47" t="str">
        <f>TRIM(IF(LOWER(TRIM([1]raw_data!G47))="absent","AB",IF(TRIM([1]raw_data!G47)=" ",0,IF(ISNUMBER(VALUE([1]raw_data!G47)),IF(AND(VALUE([1]raw_data!G47)&gt;0,VALUE([1]raw_data!G47)&lt;=100),VALUE([1]raw_data!G47),"0")))))</f>
        <v>0</v>
      </c>
      <c r="H47" t="str">
        <f>TRIM(IF(LOWER(TRIM([1]raw_data!H47))="na","NA",IF(TRIM([1]raw_data!H47)=" ",0,IF(ISNUMBER(VALUE([1]raw_data!H47)),IF(AND(VALUE([1]raw_data!H47)&gt;0,VALUE([1]raw_data!H47)&lt;=100),VALUE([1]raw_data!H47),"0")))))</f>
        <v>NA</v>
      </c>
      <c r="I47" t="str">
        <f>TRIM(IF(LOWER(TRIM([1]raw_data!I47))="n/a","NA",IF(TRIM([1]raw_data!I47)=" ",0,IF(ISNUMBER(VALUE([1]raw_data!I47)),IF(AND(VALUE([1]raw_data!I47)&gt;0,VALUE([1]raw_data!I47)&lt;=100),VALUE([1]raw_data!G47),"0")))))</f>
        <v>NA</v>
      </c>
      <c r="J47" t="str">
        <f>IF(TRIM([1]raw_data!J47)="",
"-",
TRIM(IF(VALUE(SUBSTITUTE(TRIM([1]raw_data!J47),"%",""))&gt;100,
"CHECK",
VALUE(SUBSTITUTE([1]raw_data!J47,"%","")))))</f>
        <v>76</v>
      </c>
      <c r="K47" t="str">
        <f>IF(LEN(TRIM(SUBSTITUTE([1]raw_data!K47,CHAR(160),"")))=0,
"REQ",
SUBSTITUTE(SUBSTITUTE([1]raw_data!K47,"-","")," ",""))</f>
        <v>REQ</v>
      </c>
    </row>
    <row r="48" spans="1:11" x14ac:dyDescent="0.25">
      <c r="A48" t="s">
        <v>13</v>
      </c>
      <c r="B48" t="str">
        <f>PROPER(TRIM([1]raw_data!B48))</f>
        <v>Vivaan Kumar</v>
      </c>
      <c r="C48" t="str">
        <f>IF(OR(LOWER(TRIM([1]raw_data!C48))="male",LOWER(TRIM([1]raw_data!C48))="m"),"Male",IF(OR(LOWER(TRIM([1]raw_data!C48))="female",LOWER(TRIM([1]raw_data!C48))="f",LOWER(TRIM([1]raw_data!C48))="fem"),"Female"))</f>
        <v>Female</v>
      </c>
      <c r="D48" t="str">
        <f>IF(TRIM([1]raw_data!D48)=" ","REQ",IF(LOWER(TRIM([1]raw_data!D48))="sixteen",TRIM(16),IF(ISNUMBER(VALUE([1]raw_data!D48)),IF(OR(VALUE([1]raw_data!D48)&lt;10,VALUE([1]raw_data!D48)&gt;=25),TRIM("CHECK"),TRIM(VALUE([1]raw_data!D48))),"FALSE")))</f>
        <v>CHECK</v>
      </c>
      <c r="E48" t="str">
        <f>IF(OR(UPPER(TRIM([1]raw_data!E48))="X",UPPER(TRIM([1]raw_data!E48))="TEN",TRIM([1]raw_data!E48)="10",UPPER(TRIM([1]raw_data!E48))="10TH"),"X","CHECK")</f>
        <v>X</v>
      </c>
      <c r="F48" t="str">
        <f>IF(OR(LOWER(TRIM([1]raw_data!F48))="sec-a",LOWER(TRIM([1]raw_data!F48))="a"),"A",IF(LOWER(TRIM([1]raw_data!F48))="b","B",IF(LOWER(TRIM([1]raw_data!F48))="c","C",[1]raw_data!F48)))</f>
        <v>A</v>
      </c>
      <c r="G48" t="str">
        <f>TRIM(IF(LOWER(TRIM([1]raw_data!G48))="absent","AB",IF(TRIM([1]raw_data!G48)=" ",0,IF(ISNUMBER(VALUE([1]raw_data!G48)),IF(AND(VALUE([1]raw_data!G48)&gt;0,VALUE([1]raw_data!G48)&lt;=100),VALUE([1]raw_data!G48),"0")))))</f>
        <v>AB</v>
      </c>
      <c r="H48" t="str">
        <f>TRIM(IF(LOWER(TRIM([1]raw_data!H48))="na","NA",IF(TRIM([1]raw_data!H48)=" ",0,IF(ISNUMBER(VALUE([1]raw_data!H48)),IF(AND(VALUE([1]raw_data!H48)&gt;0,VALUE([1]raw_data!H48)&lt;=100),VALUE([1]raw_data!H48),"0")))))</f>
        <v>0</v>
      </c>
      <c r="I48" t="str">
        <f>TRIM(IF(LOWER(TRIM([1]raw_data!I48))="n/a","NA",IF(TRIM([1]raw_data!I48)=" ",0,IF(ISNUMBER(VALUE([1]raw_data!I48)),IF(AND(VALUE([1]raw_data!I48)&gt;0,VALUE([1]raw_data!I48)&lt;=100),VALUE([1]raw_data!G48),"0")))))</f>
        <v>NA</v>
      </c>
      <c r="J48" t="str">
        <f>IF(TRIM([1]raw_data!J48)="",
"-",
TRIM(IF(VALUE(SUBSTITUTE(TRIM([1]raw_data!J48),"%",""))&gt;100,
"CHECK",
VALUE(SUBSTITUTE([1]raw_data!J48,"%","")))))</f>
        <v>-</v>
      </c>
      <c r="K48" t="str">
        <f>IF(LEN(TRIM(SUBSTITUTE([1]raw_data!K48,CHAR(160),"")))=0,
"REQ",
SUBSTITUTE(SUBSTITUTE([1]raw_data!K48,"-","")," ",""))</f>
        <v>9876543210</v>
      </c>
    </row>
    <row r="49" spans="1:11" x14ac:dyDescent="0.25">
      <c r="A49" t="s">
        <v>12</v>
      </c>
      <c r="B49" t="str">
        <f>PROPER(TRIM([1]raw_data!B49))</f>
        <v>Ananya</v>
      </c>
      <c r="C49" t="str">
        <f>IF(OR(LOWER(TRIM([1]raw_data!C49))="male",LOWER(TRIM([1]raw_data!C49))="m"),"Male",IF(OR(LOWER(TRIM([1]raw_data!C49))="female",LOWER(TRIM([1]raw_data!C49))="f",LOWER(TRIM([1]raw_data!C49))="fem"),"Female"))</f>
        <v>Female</v>
      </c>
      <c r="D49" t="str">
        <f>IF(TRIM([1]raw_data!D49)=" ","REQ",IF(LOWER(TRIM([1]raw_data!D49))="sixteen",TRIM(16),IF(ISNUMBER(VALUE([1]raw_data!D49)),IF(OR(VALUE([1]raw_data!D49)&lt;10,VALUE([1]raw_data!D49)&gt;=25),TRIM("CHECK"),TRIM(VALUE([1]raw_data!D49))),"FALSE")))</f>
        <v>16</v>
      </c>
      <c r="E49" t="str">
        <f>IF(OR(UPPER(TRIM([1]raw_data!E49))="X",UPPER(TRIM([1]raw_data!E49))="TEN",TRIM([1]raw_data!E49)="10",UPPER(TRIM([1]raw_data!E49))="10TH"),"X","CHECK")</f>
        <v>X</v>
      </c>
      <c r="F49" t="str">
        <f>IF(OR(LOWER(TRIM([1]raw_data!F49))="sec-a",LOWER(TRIM([1]raw_data!F49))="a"),"A",IF(LOWER(TRIM([1]raw_data!F49))="b","B",IF(LOWER(TRIM([1]raw_data!F49))="c","C",[1]raw_data!F49)))</f>
        <v>C</v>
      </c>
      <c r="G49" t="str">
        <f>TRIM(IF(LOWER(TRIM([1]raw_data!G49))="absent","AB",IF(TRIM([1]raw_data!G49)=" ",0,IF(ISNUMBER(VALUE([1]raw_data!G49)),IF(AND(VALUE([1]raw_data!G49)&gt;0,VALUE([1]raw_data!G49)&lt;=100),VALUE([1]raw_data!G49),"0")))))</f>
        <v>0</v>
      </c>
      <c r="H49" t="str">
        <f>TRIM(IF(LOWER(TRIM([1]raw_data!H49))="na","NA",IF(TRIM([1]raw_data!H49)=" ",0,IF(ISNUMBER(VALUE([1]raw_data!H49)),IF(AND(VALUE([1]raw_data!H49)&gt;0,VALUE([1]raw_data!H49)&lt;=100),VALUE([1]raw_data!H49),"0")))))</f>
        <v>0</v>
      </c>
      <c r="I49" t="str">
        <f>TRIM(IF(LOWER(TRIM([1]raw_data!I49))="n/a","NA",IF(TRIM([1]raw_data!I49)=" ",0,IF(ISNUMBER(VALUE([1]raw_data!I49)),IF(AND(VALUE([1]raw_data!I49)&gt;0,VALUE([1]raw_data!I49)&lt;=100),VALUE([1]raw_data!G49),"0")))))</f>
        <v>0</v>
      </c>
      <c r="J49" t="str">
        <f>IF(TRIM([1]raw_data!J49)="",
"-",
TRIM(IF(VALUE(SUBSTITUTE(TRIM([1]raw_data!J49),"%",""))&gt;100,
"CHECK",
VALUE(SUBSTITUTE([1]raw_data!J49,"%","")))))</f>
        <v>75</v>
      </c>
      <c r="K49" t="str">
        <f>IF(LEN(TRIM(SUBSTITUTE([1]raw_data!K49,CHAR(160),"")))=0,
"REQ",
SUBSTITUTE(SUBSTITUTE([1]raw_data!K49,"-","")," ",""))</f>
        <v>9876543210</v>
      </c>
    </row>
    <row r="50" spans="1:11" x14ac:dyDescent="0.25">
      <c r="A50" t="s">
        <v>11</v>
      </c>
      <c r="B50" t="str">
        <f>PROPER(TRIM([1]raw_data!B50))</f>
        <v>Vivaan Kumar</v>
      </c>
      <c r="C50" t="str">
        <f>IF(OR(LOWER(TRIM([1]raw_data!C50))="male",LOWER(TRIM([1]raw_data!C50))="m"),"Male",IF(OR(LOWER(TRIM([1]raw_data!C50))="female",LOWER(TRIM([1]raw_data!C50))="f",LOWER(TRIM([1]raw_data!C50))="fem"),"Female"))</f>
        <v>Male</v>
      </c>
      <c r="D50" t="str">
        <f>IF(TRIM([1]raw_data!D50)=" ","REQ",IF(LOWER(TRIM([1]raw_data!D50))="sixteen",TRIM(16),IF(ISNUMBER(VALUE([1]raw_data!D50)),IF(OR(VALUE([1]raw_data!D50)&lt;10,VALUE([1]raw_data!D50)&gt;=25),TRIM("CHECK"),TRIM(VALUE([1]raw_data!D50))),"FALSE")))</f>
        <v>15</v>
      </c>
      <c r="E50" t="str">
        <f>IF(OR(UPPER(TRIM([1]raw_data!E50))="X",UPPER(TRIM([1]raw_data!E50))="TEN",TRIM([1]raw_data!E50)="10",UPPER(TRIM([1]raw_data!E50))="10TH"),"X","CHECK")</f>
        <v>X</v>
      </c>
      <c r="F50" t="str">
        <f>IF(OR(LOWER(TRIM([1]raw_data!F50))="sec-a",LOWER(TRIM([1]raw_data!F50))="a"),"A",IF(LOWER(TRIM([1]raw_data!F50))="b","B",IF(LOWER(TRIM([1]raw_data!F50))="c","C",[1]raw_data!F50)))</f>
        <v>A</v>
      </c>
      <c r="G50" t="str">
        <f>TRIM(IF(LOWER(TRIM([1]raw_data!G50))="absent","AB",IF(TRIM([1]raw_data!G50)=" ",0,IF(ISNUMBER(VALUE([1]raw_data!G50)),IF(AND(VALUE([1]raw_data!G50)&gt;0,VALUE([1]raw_data!G50)&lt;=100),VALUE([1]raw_data!G50),"0")))))</f>
        <v>0</v>
      </c>
      <c r="H50" t="str">
        <f>TRIM(IF(LOWER(TRIM([1]raw_data!H50))="na","NA",IF(TRIM([1]raw_data!H50)=" ",0,IF(ISNUMBER(VALUE([1]raw_data!H50)),IF(AND(VALUE([1]raw_data!H50)&gt;0,VALUE([1]raw_data!H50)&lt;=100),VALUE([1]raw_data!H50),"0")))))</f>
        <v>0</v>
      </c>
      <c r="I50" t="str">
        <f>TRIM(IF(LOWER(TRIM([1]raw_data!I50))="n/a","NA",IF(TRIM([1]raw_data!I50)=" ",0,IF(ISNUMBER(VALUE([1]raw_data!I50)),IF(AND(VALUE([1]raw_data!I50)&gt;0,VALUE([1]raw_data!I50)&lt;=100),VALUE([1]raw_data!G50),"0")))))</f>
        <v>0</v>
      </c>
      <c r="J50" t="str">
        <f>IF(TRIM([1]raw_data!J50)="",
"-",
TRIM(IF(VALUE(SUBSTITUTE(TRIM([1]raw_data!J50),"%",""))&gt;100,
"CHECK",
VALUE(SUBSTITUTE([1]raw_data!J50,"%","")))))</f>
        <v>-</v>
      </c>
      <c r="K50" t="str">
        <f>IF(LEN(TRIM(SUBSTITUTE([1]raw_data!K50,CHAR(160),"")))=0,
"REQ",
SUBSTITUTE(SUBSTITUTE([1]raw_data!K50,"-","")," ",""))</f>
        <v>9876543210</v>
      </c>
    </row>
    <row r="51" spans="1:11" x14ac:dyDescent="0.25">
      <c r="A51" t="s">
        <v>10</v>
      </c>
      <c r="B51" t="str">
        <f>PROPER(TRIM([1]raw_data!B51))</f>
        <v>Rohan</v>
      </c>
      <c r="C51" t="str">
        <f>IF(OR(LOWER(TRIM([1]raw_data!C51))="male",LOWER(TRIM([1]raw_data!C51))="m"),"Male",IF(OR(LOWER(TRIM([1]raw_data!C51))="female",LOWER(TRIM([1]raw_data!C51))="f",LOWER(TRIM([1]raw_data!C51))="fem"),"Female"))</f>
        <v>Male</v>
      </c>
      <c r="D51" t="str">
        <f>IF(TRIM([1]raw_data!D51)=" ","REQ",IF(LOWER(TRIM([1]raw_data!D51))="sixteen",TRIM(16),IF(ISNUMBER(VALUE([1]raw_data!D51)),IF(OR(VALUE([1]raw_data!D51)&lt;10,VALUE([1]raw_data!D51)&gt;=25),TRIM("CHECK"),TRIM(VALUE([1]raw_data!D51))),"FALSE")))</f>
        <v>CHECK</v>
      </c>
      <c r="E51" t="str">
        <f>IF(OR(UPPER(TRIM([1]raw_data!E51))="X",UPPER(TRIM([1]raw_data!E51))="TEN",TRIM([1]raw_data!E51)="10",UPPER(TRIM([1]raw_data!E51))="10TH"),"X","CHECK")</f>
        <v>X</v>
      </c>
      <c r="F51" t="str">
        <f>IF(OR(LOWER(TRIM([1]raw_data!F51))="sec-a",LOWER(TRIM([1]raw_data!F51))="a"),"A",IF(LOWER(TRIM([1]raw_data!F51))="b","B",IF(LOWER(TRIM([1]raw_data!F51))="c","C",[1]raw_data!F51)))</f>
        <v>A</v>
      </c>
      <c r="G51" t="str">
        <f>TRIM(IF(LOWER(TRIM([1]raw_data!G51))="absent","AB",IF(TRIM([1]raw_data!G51)=" ",0,IF(ISNUMBER(VALUE([1]raw_data!G51)),IF(AND(VALUE([1]raw_data!G51)&gt;0,VALUE([1]raw_data!G51)&lt;=100),VALUE([1]raw_data!G51),"0")))))</f>
        <v>0</v>
      </c>
      <c r="H51" t="str">
        <f>TRIM(IF(LOWER(TRIM([1]raw_data!H51))="na","NA",IF(TRIM([1]raw_data!H51)=" ",0,IF(ISNUMBER(VALUE([1]raw_data!H51)),IF(AND(VALUE([1]raw_data!H51)&gt;0,VALUE([1]raw_data!H51)&lt;=100),VALUE([1]raw_data!H51),"0")))))</f>
        <v>NA</v>
      </c>
      <c r="I51" t="str">
        <f>TRIM(IF(LOWER(TRIM([1]raw_data!I51))="n/a","NA",IF(TRIM([1]raw_data!I51)=" ",0,IF(ISNUMBER(VALUE([1]raw_data!I51)),IF(AND(VALUE([1]raw_data!I51)&gt;0,VALUE([1]raw_data!I51)&lt;=100),VALUE([1]raw_data!G51),"0")))))</f>
        <v>0</v>
      </c>
      <c r="J51" t="str">
        <f>IF(TRIM([1]raw_data!J51)="",
"-",
TRIM(IF(VALUE(SUBSTITUTE(TRIM([1]raw_data!J51),"%",""))&gt;100,
"CHECK",
VALUE(SUBSTITUTE([1]raw_data!J51,"%","")))))</f>
        <v>90</v>
      </c>
      <c r="K51" t="str">
        <f>IF(LEN(TRIM(SUBSTITUTE([1]raw_data!K51,CHAR(160),"")))=0,
"REQ",
SUBSTITUTE(SUBSTITUTE([1]raw_data!K51,"-","")," ",""))</f>
        <v>9876543210</v>
      </c>
    </row>
    <row r="52" spans="1:11" x14ac:dyDescent="0.25">
      <c r="A52" t="s">
        <v>9</v>
      </c>
      <c r="B52" t="str">
        <f>PROPER(TRIM([1]raw_data!B52))</f>
        <v>Rohan</v>
      </c>
      <c r="C52" t="str">
        <f>IF(OR(LOWER(TRIM([1]raw_data!C52))="male",LOWER(TRIM([1]raw_data!C52))="m"),"Male",IF(OR(LOWER(TRIM([1]raw_data!C52))="female",LOWER(TRIM([1]raw_data!C52))="f",LOWER(TRIM([1]raw_data!C52))="fem"),"Female"))</f>
        <v>Female</v>
      </c>
      <c r="D52" t="str">
        <f>IF(TRIM([1]raw_data!D52)=" ","REQ",IF(LOWER(TRIM([1]raw_data!D52))="sixteen",TRIM(16),IF(ISNUMBER(VALUE([1]raw_data!D52)),IF(OR(VALUE([1]raw_data!D52)&lt;10,VALUE([1]raw_data!D52)&gt;=25),TRIM("CHECK"),TRIM(VALUE([1]raw_data!D52))),"FALSE")))</f>
        <v>CHECK</v>
      </c>
      <c r="E52" t="str">
        <f>IF(OR(UPPER(TRIM([1]raw_data!E52))="X",UPPER(TRIM([1]raw_data!E52))="TEN",TRIM([1]raw_data!E52)="10",UPPER(TRIM([1]raw_data!E52))="10TH"),"X","CHECK")</f>
        <v>X</v>
      </c>
      <c r="F52" t="str">
        <f>IF(OR(LOWER(TRIM([1]raw_data!F52))="sec-a",LOWER(TRIM([1]raw_data!F52))="a"),"A",IF(LOWER(TRIM([1]raw_data!F52))="b","B",IF(LOWER(TRIM([1]raw_data!F52))="c","C",[1]raw_data!F52)))</f>
        <v>A</v>
      </c>
      <c r="G52" t="str">
        <f>TRIM(IF(LOWER(TRIM([1]raw_data!G52))="absent","AB",IF(TRIM([1]raw_data!G52)=" ",0,IF(ISNUMBER(VALUE([1]raw_data!G52)),IF(AND(VALUE([1]raw_data!G52)&gt;0,VALUE([1]raw_data!G52)&lt;=100),VALUE([1]raw_data!G52),"0")))))</f>
        <v>0</v>
      </c>
      <c r="H52" t="str">
        <f>TRIM(IF(LOWER(TRIM([1]raw_data!H52))="na","NA",IF(TRIM([1]raw_data!H52)=" ",0,IF(ISNUMBER(VALUE([1]raw_data!H52)),IF(AND(VALUE([1]raw_data!H52)&gt;0,VALUE([1]raw_data!H52)&lt;=100),VALUE([1]raw_data!H52),"0")))))</f>
        <v>0</v>
      </c>
      <c r="I52" t="str">
        <f>TRIM(IF(LOWER(TRIM([1]raw_data!I52))="n/a","NA",IF(TRIM([1]raw_data!I52)=" ",0,IF(ISNUMBER(VALUE([1]raw_data!I52)),IF(AND(VALUE([1]raw_data!I52)&gt;0,VALUE([1]raw_data!I52)&lt;=100),VALUE([1]raw_data!G52),"0")))))</f>
        <v>NA</v>
      </c>
      <c r="J52" t="str">
        <f>IF(TRIM([1]raw_data!J52)="",
"-",
TRIM(IF(VALUE(SUBSTITUTE(TRIM([1]raw_data!J52),"%",""))&gt;100,
"CHECK",
VALUE(SUBSTITUTE([1]raw_data!J52,"%","")))))</f>
        <v>79</v>
      </c>
      <c r="K52" t="str">
        <f>IF(LEN(TRIM(SUBSTITUTE([1]raw_data!K52,CHAR(160),"")))=0,
"REQ",
SUBSTITUTE(SUBSTITUTE([1]raw_data!K52,"-","")," ",""))</f>
        <v>9876543210</v>
      </c>
    </row>
    <row r="53" spans="1:11" x14ac:dyDescent="0.25">
      <c r="A53" t="s">
        <v>8</v>
      </c>
      <c r="B53" t="str">
        <f>PROPER(TRIM([1]raw_data!B53))</f>
        <v>Meera</v>
      </c>
      <c r="C53" t="str">
        <f>IF(OR(LOWER(TRIM([1]raw_data!C53))="male",LOWER(TRIM([1]raw_data!C53))="m"),"Male",IF(OR(LOWER(TRIM([1]raw_data!C53))="female",LOWER(TRIM([1]raw_data!C53))="f",LOWER(TRIM([1]raw_data!C53))="fem"),"Female"))</f>
        <v>Female</v>
      </c>
      <c r="D53" t="str">
        <f>IF(TRIM([1]raw_data!D53)=" ","REQ",IF(LOWER(TRIM([1]raw_data!D53))="sixteen",TRIM(16),IF(ISNUMBER(VALUE([1]raw_data!D53)),IF(OR(VALUE([1]raw_data!D53)&lt;10,VALUE([1]raw_data!D53)&gt;=25),TRIM("CHECK"),TRIM(VALUE([1]raw_data!D53))),"FALSE")))</f>
        <v>CHECK</v>
      </c>
      <c r="E53" t="str">
        <f>IF(OR(UPPER(TRIM([1]raw_data!E53))="X",UPPER(TRIM([1]raw_data!E53))="TEN",TRIM([1]raw_data!E53)="10",UPPER(TRIM([1]raw_data!E53))="10TH"),"X","CHECK")</f>
        <v>X</v>
      </c>
      <c r="F53" t="str">
        <f>IF(OR(LOWER(TRIM([1]raw_data!F53))="sec-a",LOWER(TRIM([1]raw_data!F53))="a"),"A",IF(LOWER(TRIM([1]raw_data!F53))="b","B",IF(LOWER(TRIM([1]raw_data!F53))="c","C",[1]raw_data!F53)))</f>
        <v>A</v>
      </c>
      <c r="G53" t="str">
        <f>TRIM(IF(LOWER(TRIM([1]raw_data!G53))="absent","AB",IF(TRIM([1]raw_data!G53)=" ",0,IF(ISNUMBER(VALUE([1]raw_data!G53)),IF(AND(VALUE([1]raw_data!G53)&gt;0,VALUE([1]raw_data!G53)&lt;=100),VALUE([1]raw_data!G53),"0")))))</f>
        <v>0</v>
      </c>
      <c r="H53" t="str">
        <f>TRIM(IF(LOWER(TRIM([1]raw_data!H53))="na","NA",IF(TRIM([1]raw_data!H53)=" ",0,IF(ISNUMBER(VALUE([1]raw_data!H53)),IF(AND(VALUE([1]raw_data!H53)&gt;0,VALUE([1]raw_data!H53)&lt;=100),VALUE([1]raw_data!H53),"0")))))</f>
        <v>NA</v>
      </c>
      <c r="I53" t="str">
        <f>TRIM(IF(LOWER(TRIM([1]raw_data!I53))="n/a","NA",IF(TRIM([1]raw_data!I53)=" ",0,IF(ISNUMBER(VALUE([1]raw_data!I53)),IF(AND(VALUE([1]raw_data!I53)&gt;0,VALUE([1]raw_data!I53)&lt;=100),VALUE([1]raw_data!G53),"0")))))</f>
        <v>0</v>
      </c>
      <c r="J53" t="str">
        <f>IF(TRIM([1]raw_data!J53)="",
"-",
TRIM(IF(VALUE(SUBSTITUTE(TRIM([1]raw_data!J53),"%",""))&gt;100,
"CHECK",
VALUE(SUBSTITUTE([1]raw_data!J53,"%","")))))</f>
        <v>64</v>
      </c>
      <c r="K53" t="str">
        <f>IF(LEN(TRIM(SUBSTITUTE([1]raw_data!K53,CHAR(160),"")))=0,
"REQ",
SUBSTITUTE(SUBSTITUTE([1]raw_data!K53,"-","")," ",""))</f>
        <v>9876543210</v>
      </c>
    </row>
    <row r="54" spans="1:11" x14ac:dyDescent="0.25">
      <c r="A54" t="s">
        <v>7</v>
      </c>
      <c r="B54" t="str">
        <f>PROPER(TRIM([1]raw_data!B54))</f>
        <v>Pooja</v>
      </c>
      <c r="C54" t="str">
        <f>IF(OR(LOWER(TRIM([1]raw_data!C54))="male",LOWER(TRIM([1]raw_data!C54))="m"),"Male",IF(OR(LOWER(TRIM([1]raw_data!C54))="female",LOWER(TRIM([1]raw_data!C54))="f",LOWER(TRIM([1]raw_data!C54))="fem"),"Female"))</f>
        <v>Female</v>
      </c>
      <c r="D54" t="str">
        <f>IF(TRIM([1]raw_data!D54)=" ","REQ",IF(LOWER(TRIM([1]raw_data!D54))="sixteen",TRIM(16),IF(ISNUMBER(VALUE([1]raw_data!D54)),IF(OR(VALUE([1]raw_data!D54)&lt;10,VALUE([1]raw_data!D54)&gt;=25),TRIM("CHECK"),TRIM(VALUE([1]raw_data!D54))),"FALSE")))</f>
        <v>CHECK</v>
      </c>
      <c r="E54" t="str">
        <f>IF(OR(UPPER(TRIM([1]raw_data!E54))="X",UPPER(TRIM([1]raw_data!E54))="TEN",TRIM([1]raw_data!E54)="10",UPPER(TRIM([1]raw_data!E54))="10TH"),"X","CHECK")</f>
        <v>X</v>
      </c>
      <c r="F54" t="str">
        <f>IF(OR(LOWER(TRIM([1]raw_data!F54))="sec-a",LOWER(TRIM([1]raw_data!F54))="a"),"A",IF(LOWER(TRIM([1]raw_data!F54))="b","B",IF(LOWER(TRIM([1]raw_data!F54))="c","C",[1]raw_data!F54)))</f>
        <v>A</v>
      </c>
      <c r="G54" t="str">
        <f>TRIM(IF(LOWER(TRIM([1]raw_data!G54))="absent","AB",IF(TRIM([1]raw_data!G54)=" ",0,IF(ISNUMBER(VALUE([1]raw_data!G54)),IF(AND(VALUE([1]raw_data!G54)&gt;0,VALUE([1]raw_data!G54)&lt;=100),VALUE([1]raw_data!G54),"0")))))</f>
        <v>0</v>
      </c>
      <c r="H54" t="str">
        <f>TRIM(IF(LOWER(TRIM([1]raw_data!H54))="na","NA",IF(TRIM([1]raw_data!H54)=" ",0,IF(ISNUMBER(VALUE([1]raw_data!H54)),IF(AND(VALUE([1]raw_data!H54)&gt;0,VALUE([1]raw_data!H54)&lt;=100),VALUE([1]raw_data!H54),"0")))))</f>
        <v>37</v>
      </c>
      <c r="I54" t="str">
        <f>TRIM(IF(LOWER(TRIM([1]raw_data!I54))="n/a","NA",IF(TRIM([1]raw_data!I54)=" ",0,IF(ISNUMBER(VALUE([1]raw_data!I54)),IF(AND(VALUE([1]raw_data!I54)&gt;0,VALUE([1]raw_data!I54)&lt;=100),VALUE([1]raw_data!G54),"0")))))</f>
        <v>0</v>
      </c>
      <c r="J54" t="str">
        <f>IF(TRIM([1]raw_data!J54)="",
"-",
TRIM(IF(VALUE(SUBSTITUTE(TRIM([1]raw_data!J54),"%",""))&gt;100,
"CHECK",
VALUE(SUBSTITUTE([1]raw_data!J54,"%","")))))</f>
        <v>-</v>
      </c>
      <c r="K54" t="str">
        <f>IF(LEN(TRIM(SUBSTITUTE([1]raw_data!K54,CHAR(160),"")))=0,
"REQ",
SUBSTITUTE(SUBSTITUTE([1]raw_data!K54,"-","")," ",""))</f>
        <v>9876543210</v>
      </c>
    </row>
    <row r="55" spans="1:11" x14ac:dyDescent="0.25">
      <c r="A55" t="s">
        <v>6</v>
      </c>
      <c r="B55" t="str">
        <f>PROPER(TRIM([1]raw_data!B55))</f>
        <v>Vivaan</v>
      </c>
      <c r="C55" t="str">
        <f>IF(OR(LOWER(TRIM([1]raw_data!C55))="male",LOWER(TRIM([1]raw_data!C55))="m"),"Male",IF(OR(LOWER(TRIM([1]raw_data!C55))="female",LOWER(TRIM([1]raw_data!C55))="f",LOWER(TRIM([1]raw_data!C55))="fem"),"Female"))</f>
        <v>Female</v>
      </c>
      <c r="D55" t="str">
        <f>IF(TRIM([1]raw_data!D55)=" ","REQ",IF(LOWER(TRIM([1]raw_data!D55))="sixteen",TRIM(16),IF(ISNUMBER(VALUE([1]raw_data!D55)),IF(OR(VALUE([1]raw_data!D55)&lt;10,VALUE([1]raw_data!D55)&gt;=25),TRIM("CHECK"),TRIM(VALUE([1]raw_data!D55))),"FALSE")))</f>
        <v>14</v>
      </c>
      <c r="E55" t="str">
        <f>IF(OR(UPPER(TRIM([1]raw_data!E55))="X",UPPER(TRIM([1]raw_data!E55))="TEN",TRIM([1]raw_data!E55)="10",UPPER(TRIM([1]raw_data!E55))="10TH"),"X","CHECK")</f>
        <v>X</v>
      </c>
      <c r="F55" t="str">
        <f>IF(OR(LOWER(TRIM([1]raw_data!F55))="sec-a",LOWER(TRIM([1]raw_data!F55))="a"),"A",IF(LOWER(TRIM([1]raw_data!F55))="b","B",IF(LOWER(TRIM([1]raw_data!F55))="c","C",[1]raw_data!F55)))</f>
        <v>B</v>
      </c>
      <c r="G55" t="str">
        <f>TRIM(IF(LOWER(TRIM([1]raw_data!G55))="absent","AB",IF(TRIM([1]raw_data!G55)=" ",0,IF(ISNUMBER(VALUE([1]raw_data!G55)),IF(AND(VALUE([1]raw_data!G55)&gt;0,VALUE([1]raw_data!G55)&lt;=100),VALUE([1]raw_data!G55),"0")))))</f>
        <v>89</v>
      </c>
      <c r="H55" t="str">
        <f>TRIM(IF(LOWER(TRIM([1]raw_data!H55))="na","NA",IF(TRIM([1]raw_data!H55)=" ",0,IF(ISNUMBER(VALUE([1]raw_data!H55)),IF(AND(VALUE([1]raw_data!H55)&gt;0,VALUE([1]raw_data!H55)&lt;=100),VALUE([1]raw_data!H55),"0")))))</f>
        <v>94</v>
      </c>
      <c r="I55" t="str">
        <f>TRIM(IF(LOWER(TRIM([1]raw_data!I55))="n/a","NA",IF(TRIM([1]raw_data!I55)=" ",0,IF(ISNUMBER(VALUE([1]raw_data!I55)),IF(AND(VALUE([1]raw_data!I55)&gt;0,VALUE([1]raw_data!I55)&lt;=100),VALUE([1]raw_data!G55),"0")))))</f>
        <v>89</v>
      </c>
      <c r="J55" t="str">
        <f>IF(TRIM([1]raw_data!J55)="",
"-",
TRIM(IF(VALUE(SUBSTITUTE(TRIM([1]raw_data!J55),"%",""))&gt;100,
"CHECK",
VALUE(SUBSTITUTE([1]raw_data!J55,"%","")))))</f>
        <v>-</v>
      </c>
      <c r="K55" t="str">
        <f>IF(LEN(TRIM(SUBSTITUTE([1]raw_data!K55,CHAR(160),"")))=0,
"REQ",
SUBSTITUTE(SUBSTITUTE([1]raw_data!K55,"-","")," ",""))</f>
        <v>9876543210</v>
      </c>
    </row>
    <row r="56" spans="1:11" x14ac:dyDescent="0.25">
      <c r="A56" t="s">
        <v>5</v>
      </c>
      <c r="B56" t="str">
        <f>PROPER(TRIM([1]raw_data!B56))</f>
        <v>Isha</v>
      </c>
      <c r="C56" t="str">
        <f>IF(OR(LOWER(TRIM([1]raw_data!C56))="male",LOWER(TRIM([1]raw_data!C56))="m"),"Male",IF(OR(LOWER(TRIM([1]raw_data!C56))="female",LOWER(TRIM([1]raw_data!C56))="f",LOWER(TRIM([1]raw_data!C56))="fem"),"Female"))</f>
        <v>Male</v>
      </c>
      <c r="D56" t="str">
        <f>IF(TRIM([1]raw_data!D56)=" ","REQ",IF(LOWER(TRIM([1]raw_data!D56))="sixteen",TRIM(16),IF(ISNUMBER(VALUE([1]raw_data!D56)),IF(OR(VALUE([1]raw_data!D56)&lt;10,VALUE([1]raw_data!D56)&gt;=25),TRIM("CHECK"),TRIM(VALUE([1]raw_data!D56))),"FALSE")))</f>
        <v>15</v>
      </c>
      <c r="E56" t="str">
        <f>IF(OR(UPPER(TRIM([1]raw_data!E56))="X",UPPER(TRIM([1]raw_data!E56))="TEN",TRIM([1]raw_data!E56)="10",UPPER(TRIM([1]raw_data!E56))="10TH"),"X","CHECK")</f>
        <v>X</v>
      </c>
      <c r="F56" t="str">
        <f>IF(OR(LOWER(TRIM([1]raw_data!F56))="sec-a",LOWER(TRIM([1]raw_data!F56))="a"),"A",IF(LOWER(TRIM([1]raw_data!F56))="b","B",IF(LOWER(TRIM([1]raw_data!F56))="c","C",[1]raw_data!F56)))</f>
        <v>A</v>
      </c>
      <c r="G56" t="str">
        <f>TRIM(IF(LOWER(TRIM([1]raw_data!G56))="absent","AB",IF(TRIM([1]raw_data!G56)=" ",0,IF(ISNUMBER(VALUE([1]raw_data!G56)),IF(AND(VALUE([1]raw_data!G56)&gt;0,VALUE([1]raw_data!G56)&lt;=100),VALUE([1]raw_data!G56),"0")))))</f>
        <v>40</v>
      </c>
      <c r="H56" t="str">
        <f>TRIM(IF(LOWER(TRIM([1]raw_data!H56))="na","NA",IF(TRIM([1]raw_data!H56)=" ",0,IF(ISNUMBER(VALUE([1]raw_data!H56)),IF(AND(VALUE([1]raw_data!H56)&gt;0,VALUE([1]raw_data!H56)&lt;=100),VALUE([1]raw_data!H56),"0")))))</f>
        <v>0</v>
      </c>
      <c r="I56" t="str">
        <f>TRIM(IF(LOWER(TRIM([1]raw_data!I56))="n/a","NA",IF(TRIM([1]raw_data!I56)=" ",0,IF(ISNUMBER(VALUE([1]raw_data!I56)),IF(AND(VALUE([1]raw_data!I56)&gt;0,VALUE([1]raw_data!I56)&lt;=100),VALUE([1]raw_data!G56),"0")))))</f>
        <v>NA</v>
      </c>
      <c r="J56" t="str">
        <f>IF(TRIM([1]raw_data!J56)="",
"-",
TRIM(IF(VALUE(SUBSTITUTE(TRIM([1]raw_data!J56),"%",""))&gt;100,
"CHECK",
VALUE(SUBSTITUTE([1]raw_data!J56,"%","")))))</f>
        <v>67</v>
      </c>
      <c r="K56" t="str">
        <f>IF(LEN(TRIM(SUBSTITUTE([1]raw_data!K56,CHAR(160),"")))=0,
"REQ",
SUBSTITUTE(SUBSTITUTE([1]raw_data!K56,"-","")," ",""))</f>
        <v>REQ</v>
      </c>
    </row>
    <row r="57" spans="1:11" x14ac:dyDescent="0.25">
      <c r="A57" t="s">
        <v>4</v>
      </c>
      <c r="B57" t="str">
        <f>PROPER(TRIM([1]raw_data!B57))</f>
        <v>Ananya</v>
      </c>
      <c r="C57" t="str">
        <f>IF(OR(LOWER(TRIM([1]raw_data!C57))="male",LOWER(TRIM([1]raw_data!C57))="m"),"Male",IF(OR(LOWER(TRIM([1]raw_data!C57))="female",LOWER(TRIM([1]raw_data!C57))="f",LOWER(TRIM([1]raw_data!C57))="fem"),"Female"))</f>
        <v>Male</v>
      </c>
      <c r="D57" t="str">
        <f>IF(TRIM([1]raw_data!D57)=" ","REQ",IF(LOWER(TRIM([1]raw_data!D57))="sixteen",TRIM(16),IF(ISNUMBER(VALUE([1]raw_data!D57)),IF(OR(VALUE([1]raw_data!D57)&lt;10,VALUE([1]raw_data!D57)&gt;=25),TRIM("CHECK"),TRIM(VALUE([1]raw_data!D57))),"FALSE")))</f>
        <v>CHECK</v>
      </c>
      <c r="E57" t="str">
        <f>IF(OR(UPPER(TRIM([1]raw_data!E57))="X",UPPER(TRIM([1]raw_data!E57))="TEN",TRIM([1]raw_data!E57)="10",UPPER(TRIM([1]raw_data!E57))="10TH"),"X","CHECK")</f>
        <v>X</v>
      </c>
      <c r="F57" t="str">
        <f>IF(OR(LOWER(TRIM([1]raw_data!F57))="sec-a",LOWER(TRIM([1]raw_data!F57))="a"),"A",IF(LOWER(TRIM([1]raw_data!F57))="b","B",IF(LOWER(TRIM([1]raw_data!F57))="c","C",[1]raw_data!F57)))</f>
        <v>C</v>
      </c>
      <c r="G57" t="str">
        <f>TRIM(IF(LOWER(TRIM([1]raw_data!G57))="absent","AB",IF(TRIM([1]raw_data!G57)=" ",0,IF(ISNUMBER(VALUE([1]raw_data!G57)),IF(AND(VALUE([1]raw_data!G57)&gt;0,VALUE([1]raw_data!G57)&lt;=100),VALUE([1]raw_data!G57),"0")))))</f>
        <v>72</v>
      </c>
      <c r="H57" t="str">
        <f>TRIM(IF(LOWER(TRIM([1]raw_data!H57))="na","NA",IF(TRIM([1]raw_data!H57)=" ",0,IF(ISNUMBER(VALUE([1]raw_data!H57)),IF(AND(VALUE([1]raw_data!H57)&gt;0,VALUE([1]raw_data!H57)&lt;=100),VALUE([1]raw_data!H57),"0")))))</f>
        <v>NA</v>
      </c>
      <c r="I57" t="str">
        <f>TRIM(IF(LOWER(TRIM([1]raw_data!I57))="n/a","NA",IF(TRIM([1]raw_data!I57)=" ",0,IF(ISNUMBER(VALUE([1]raw_data!I57)),IF(AND(VALUE([1]raw_data!I57)&gt;0,VALUE([1]raw_data!I57)&lt;=100),VALUE([1]raw_data!G57),"0")))))</f>
        <v>0</v>
      </c>
      <c r="J57" t="str">
        <f>IF(TRIM([1]raw_data!J57)="",
"-",
TRIM(IF(VALUE(SUBSTITUTE(TRIM([1]raw_data!J57),"%",""))&gt;100,
"CHECK",
VALUE(SUBSTITUTE([1]raw_data!J57,"%","")))))</f>
        <v>75</v>
      </c>
      <c r="K57" t="str">
        <f>IF(LEN(TRIM(SUBSTITUTE([1]raw_data!K57,CHAR(160),"")))=0,
"REQ",
SUBSTITUTE(SUBSTITUTE([1]raw_data!K57,"-","")," ",""))</f>
        <v>9876543210</v>
      </c>
    </row>
    <row r="58" spans="1:11" x14ac:dyDescent="0.25">
      <c r="A58" t="s">
        <v>3</v>
      </c>
      <c r="B58" t="str">
        <f>PROPER(TRIM([1]raw_data!B58))</f>
        <v>Diya</v>
      </c>
      <c r="C58" t="str">
        <f>IF(OR(LOWER(TRIM([1]raw_data!C58))="male",LOWER(TRIM([1]raw_data!C58))="m"),"Male",IF(OR(LOWER(TRIM([1]raw_data!C58))="female",LOWER(TRIM([1]raw_data!C58))="f",LOWER(TRIM([1]raw_data!C58))="fem"),"Female"))</f>
        <v>Male</v>
      </c>
      <c r="D58" t="str">
        <f>IF(TRIM([1]raw_data!D58)=" ","REQ",IF(LOWER(TRIM([1]raw_data!D58))="sixteen",TRIM(16),IF(ISNUMBER(VALUE([1]raw_data!D58)),IF(OR(VALUE([1]raw_data!D58)&lt;10,VALUE([1]raw_data!D58)&gt;=25),TRIM("CHECK"),TRIM(VALUE([1]raw_data!D58))),"FALSE")))</f>
        <v>CHECK</v>
      </c>
      <c r="E58" t="str">
        <f>IF(OR(UPPER(TRIM([1]raw_data!E58))="X",UPPER(TRIM([1]raw_data!E58))="TEN",TRIM([1]raw_data!E58)="10",UPPER(TRIM([1]raw_data!E58))="10TH"),"X","CHECK")</f>
        <v>X</v>
      </c>
      <c r="F58" t="str">
        <f>IF(OR(LOWER(TRIM([1]raw_data!F58))="sec-a",LOWER(TRIM([1]raw_data!F58))="a"),"A",IF(LOWER(TRIM([1]raw_data!F58))="b","B",IF(LOWER(TRIM([1]raw_data!F58))="c","C",[1]raw_data!F58)))</f>
        <v>A</v>
      </c>
      <c r="G58" t="str">
        <f>TRIM(IF(LOWER(TRIM([1]raw_data!G58))="absent","AB",IF(TRIM([1]raw_data!G58)=" ",0,IF(ISNUMBER(VALUE([1]raw_data!G58)),IF(AND(VALUE([1]raw_data!G58)&gt;0,VALUE([1]raw_data!G58)&lt;=100),VALUE([1]raw_data!G58),"0")))))</f>
        <v>0</v>
      </c>
      <c r="H58" t="str">
        <f>TRIM(IF(LOWER(TRIM([1]raw_data!H58))="na","NA",IF(TRIM([1]raw_data!H58)=" ",0,IF(ISNUMBER(VALUE([1]raw_data!H58)),IF(AND(VALUE([1]raw_data!H58)&gt;0,VALUE([1]raw_data!H58)&lt;=100),VALUE([1]raw_data!H58),"0")))))</f>
        <v>0</v>
      </c>
      <c r="I58" t="str">
        <f>TRIM(IF(LOWER(TRIM([1]raw_data!I58))="n/a","NA",IF(TRIM([1]raw_data!I58)=" ",0,IF(ISNUMBER(VALUE([1]raw_data!I58)),IF(AND(VALUE([1]raw_data!I58)&gt;0,VALUE([1]raw_data!I58)&lt;=100),VALUE([1]raw_data!G58),"0")))))</f>
        <v>NA</v>
      </c>
      <c r="J58" t="str">
        <f>IF(TRIM([1]raw_data!J58)="",
"-",
TRIM(IF(VALUE(SUBSTITUTE(TRIM([1]raw_data!J58),"%",""))&gt;100,
"CHECK",
VALUE(SUBSTITUTE([1]raw_data!J58,"%","")))))</f>
        <v>74</v>
      </c>
      <c r="K58" t="str">
        <f>IF(LEN(TRIM(SUBSTITUTE([1]raw_data!K58,CHAR(160),"")))=0,
"REQ",
SUBSTITUTE(SUBSTITUTE([1]raw_data!K58,"-","")," ",""))</f>
        <v>9876543210</v>
      </c>
    </row>
    <row r="59" spans="1:11" x14ac:dyDescent="0.25">
      <c r="A59" t="s">
        <v>2</v>
      </c>
      <c r="B59" t="str">
        <f>PROPER(TRIM([1]raw_data!B59))</f>
        <v>Aarav</v>
      </c>
      <c r="C59" t="str">
        <f>IF(OR(LOWER(TRIM([1]raw_data!C59))="male",LOWER(TRIM([1]raw_data!C59))="m"),"Male",IF(OR(LOWER(TRIM([1]raw_data!C59))="female",LOWER(TRIM([1]raw_data!C59))="f",LOWER(TRIM([1]raw_data!C59))="fem"),"Female"))</f>
        <v>Female</v>
      </c>
      <c r="D59" t="str">
        <f>IF(TRIM([1]raw_data!D59)=" ","REQ",IF(LOWER(TRIM([1]raw_data!D59))="sixteen",TRIM(16),IF(ISNUMBER(VALUE([1]raw_data!D59)),IF(OR(VALUE([1]raw_data!D59)&lt;10,VALUE([1]raw_data!D59)&gt;=25),TRIM("CHECK"),TRIM(VALUE([1]raw_data!D59))),"FALSE")))</f>
        <v>CHECK</v>
      </c>
      <c r="E59" t="str">
        <f>IF(OR(UPPER(TRIM([1]raw_data!E59))="X",UPPER(TRIM([1]raw_data!E59))="TEN",TRIM([1]raw_data!E59)="10",UPPER(TRIM([1]raw_data!E59))="10TH"),"X","CHECK")</f>
        <v>X</v>
      </c>
      <c r="F59" t="str">
        <f>IF(OR(LOWER(TRIM([1]raw_data!F59))="sec-a",LOWER(TRIM([1]raw_data!F59))="a"),"A",IF(LOWER(TRIM([1]raw_data!F59))="b","B",IF(LOWER(TRIM([1]raw_data!F59))="c","C",[1]raw_data!F59)))</f>
        <v>A</v>
      </c>
      <c r="G59" t="str">
        <f>TRIM(IF(LOWER(TRIM([1]raw_data!G59))="absent","AB",IF(TRIM([1]raw_data!G59)=" ",0,IF(ISNUMBER(VALUE([1]raw_data!G59)),IF(AND(VALUE([1]raw_data!G59)&gt;0,VALUE([1]raw_data!G59)&lt;=100),VALUE([1]raw_data!G59),"0")))))</f>
        <v>AB</v>
      </c>
      <c r="H59" t="str">
        <f>TRIM(IF(LOWER(TRIM([1]raw_data!H59))="na","NA",IF(TRIM([1]raw_data!H59)=" ",0,IF(ISNUMBER(VALUE([1]raw_data!H59)),IF(AND(VALUE([1]raw_data!H59)&gt;0,VALUE([1]raw_data!H59)&lt;=100),VALUE([1]raw_data!H59),"0")))))</f>
        <v>NA</v>
      </c>
      <c r="I59" t="str">
        <f>TRIM(IF(LOWER(TRIM([1]raw_data!I59))="n/a","NA",IF(TRIM([1]raw_data!I59)=" ",0,IF(ISNUMBER(VALUE([1]raw_data!I59)),IF(AND(VALUE([1]raw_data!I59)&gt;0,VALUE([1]raw_data!I59)&lt;=100),VALUE([1]raw_data!G59),"0")))))</f>
        <v>0</v>
      </c>
      <c r="J59" t="str">
        <f>IF(TRIM([1]raw_data!J59)="",
"-",
TRIM(IF(VALUE(SUBSTITUTE(TRIM([1]raw_data!J59),"%",""))&gt;100,
"CHECK",
VALUE(SUBSTITUTE([1]raw_data!J59,"%","")))))</f>
        <v>69</v>
      </c>
      <c r="K59" t="str">
        <f>IF(LEN(TRIM(SUBSTITUTE([1]raw_data!K59,CHAR(160),"")))=0,
"REQ",
SUBSTITUTE(SUBSTITUTE([1]raw_data!K59,"-","")," ",""))</f>
        <v>9876543210</v>
      </c>
    </row>
    <row r="60" spans="1:11" x14ac:dyDescent="0.25">
      <c r="A60" t="s">
        <v>1</v>
      </c>
      <c r="B60" t="str">
        <f>PROPER(TRIM([1]raw_data!B60))</f>
        <v>Pooja</v>
      </c>
      <c r="C60" t="str">
        <f>IF(OR(LOWER(TRIM([1]raw_data!C60))="male",LOWER(TRIM([1]raw_data!C60))="m"),"Male",IF(OR(LOWER(TRIM([1]raw_data!C60))="female",LOWER(TRIM([1]raw_data!C60))="f",LOWER(TRIM([1]raw_data!C60))="fem"),"Female"))</f>
        <v>Male</v>
      </c>
      <c r="D60" t="str">
        <f>IF(TRIM([1]raw_data!D60)=" ","REQ",IF(LOWER(TRIM([1]raw_data!D60))="sixteen",TRIM(16),IF(ISNUMBER(VALUE([1]raw_data!D60)),IF(OR(VALUE([1]raw_data!D60)&lt;10,VALUE([1]raw_data!D60)&gt;=25),TRIM("CHECK"),TRIM(VALUE([1]raw_data!D60))),"FALSE")))</f>
        <v>CHECK</v>
      </c>
      <c r="E60" t="str">
        <f>IF(OR(UPPER(TRIM([1]raw_data!E60))="X",UPPER(TRIM([1]raw_data!E60))="TEN",TRIM([1]raw_data!E60)="10",UPPER(TRIM([1]raw_data!E60))="10TH"),"X","CHECK")</f>
        <v>X</v>
      </c>
      <c r="F60" t="str">
        <f>IF(OR(LOWER(TRIM([1]raw_data!F60))="sec-a",LOWER(TRIM([1]raw_data!F60))="a"),"A",IF(LOWER(TRIM([1]raw_data!F60))="b","B",IF(LOWER(TRIM([1]raw_data!F60))="c","C",[1]raw_data!F60)))</f>
        <v>C</v>
      </c>
      <c r="G60" t="str">
        <f>TRIM(IF(LOWER(TRIM([1]raw_data!G60))="absent","AB",IF(TRIM([1]raw_data!G60)=" ",0,IF(ISNUMBER(VALUE([1]raw_data!G60)),IF(AND(VALUE([1]raw_data!G60)&gt;0,VALUE([1]raw_data!G60)&lt;=100),VALUE([1]raw_data!G60),"0")))))</f>
        <v>0</v>
      </c>
      <c r="H60" t="str">
        <f>TRIM(IF(LOWER(TRIM([1]raw_data!H60))="na","NA",IF(TRIM([1]raw_data!H60)=" ",0,IF(ISNUMBER(VALUE([1]raw_data!H60)),IF(AND(VALUE([1]raw_data!H60)&gt;0,VALUE([1]raw_data!H60)&lt;=100),VALUE([1]raw_data!H60),"0")))))</f>
        <v>NA</v>
      </c>
      <c r="I60" t="str">
        <f>TRIM(IF(LOWER(TRIM([1]raw_data!I60))="n/a","NA",IF(TRIM([1]raw_data!I60)=" ",0,IF(ISNUMBER(VALUE([1]raw_data!I60)),IF(AND(VALUE([1]raw_data!I60)&gt;0,VALUE([1]raw_data!I60)&lt;=100),VALUE([1]raw_data!G60),"0")))))</f>
        <v>0</v>
      </c>
      <c r="J60" t="str">
        <f>IF(TRIM([1]raw_data!J60)="",
"-",
TRIM(IF(VALUE(SUBSTITUTE(TRIM([1]raw_data!J60),"%",""))&gt;100,
"CHECK",
VALUE(SUBSTITUTE([1]raw_data!J60,"%","")))))</f>
        <v>-</v>
      </c>
      <c r="K60" t="str">
        <f>IF(LEN(TRIM(SUBSTITUTE([1]raw_data!K60,CHAR(160),"")))=0,
"REQ",
SUBSTITUTE(SUBSTITUTE([1]raw_data!K60,"-","")," ",""))</f>
        <v>REQ</v>
      </c>
    </row>
    <row r="61" spans="1:11" x14ac:dyDescent="0.25">
      <c r="A61" t="s">
        <v>0</v>
      </c>
      <c r="B61" t="str">
        <f>PROPER(TRIM([1]raw_data!B61))</f>
        <v>Rohan</v>
      </c>
      <c r="C61" t="str">
        <f>IF(OR(LOWER(TRIM([1]raw_data!C61))="male",LOWER(TRIM([1]raw_data!C61))="m"),"Male",IF(OR(LOWER(TRIM([1]raw_data!C61))="female",LOWER(TRIM([1]raw_data!C61))="f",LOWER(TRIM([1]raw_data!C61))="fem"),"Female"))</f>
        <v>Male</v>
      </c>
      <c r="D61" t="str">
        <f>IF(TRIM([1]raw_data!D61)=" ","REQ",IF(LOWER(TRIM([1]raw_data!D61))="sixteen",TRIM(16),IF(ISNUMBER(VALUE([1]raw_data!D61)),IF(OR(VALUE([1]raw_data!D61)&lt;10,VALUE([1]raw_data!D61)&gt;=25),TRIM("CHECK"),TRIM(VALUE([1]raw_data!D61))),"FALSE")))</f>
        <v>CHECK</v>
      </c>
      <c r="E61" t="str">
        <f>IF(OR(UPPER(TRIM([1]raw_data!E61))="X",UPPER(TRIM([1]raw_data!E61))="TEN",TRIM([1]raw_data!E61)="10",UPPER(TRIM([1]raw_data!E61))="10TH"),"X","CHECK")</f>
        <v>X</v>
      </c>
      <c r="F61" t="str">
        <f>IF(OR(LOWER(TRIM([1]raw_data!F61))="sec-a",LOWER(TRIM([1]raw_data!F61))="a"),"A",IF(LOWER(TRIM([1]raw_data!F61))="b","B",IF(LOWER(TRIM([1]raw_data!F61))="c","C",[1]raw_data!F61)))</f>
        <v>A</v>
      </c>
      <c r="G61" t="str">
        <f>TRIM(IF(LOWER(TRIM([1]raw_data!G61))="absent","AB",IF(TRIM([1]raw_data!G61)=" ",0,IF(ISNUMBER(VALUE([1]raw_data!G61)),IF(AND(VALUE([1]raw_data!G61)&gt;0,VALUE([1]raw_data!G61)&lt;=100),VALUE([1]raw_data!G61),"0")))))</f>
        <v>AB</v>
      </c>
      <c r="H61" t="str">
        <f>TRIM(IF(LOWER(TRIM([1]raw_data!H61))="na","NA",IF(TRIM([1]raw_data!H61)=" ",0,IF(ISNUMBER(VALUE([1]raw_data!H61)),IF(AND(VALUE([1]raw_data!H61)&gt;0,VALUE([1]raw_data!H61)&lt;=100),VALUE([1]raw_data!H61),"0")))))</f>
        <v>0</v>
      </c>
      <c r="I61" t="str">
        <f>TRIM(IF(LOWER(TRIM([1]raw_data!I61))="n/a","NA",IF(TRIM([1]raw_data!I61)=" ",0,IF(ISNUMBER(VALUE([1]raw_data!I61)),IF(AND(VALUE([1]raw_data!I61)&gt;0,VALUE([1]raw_data!I61)&lt;=100),VALUE([1]raw_data!G61),"0")))))</f>
        <v>0</v>
      </c>
      <c r="J61" t="str">
        <f>IF(TRIM([1]raw_data!J61)="",
"-",
TRIM(IF(VALUE(SUBSTITUTE(TRIM([1]raw_data!J61),"%",""))&gt;100,
"CHECK",
VALUE(SUBSTITUTE([1]raw_data!J61,"%","")))))</f>
        <v>78</v>
      </c>
      <c r="K61" t="str">
        <f>IF(LEN(TRIM(SUBSTITUTE([1]raw_data!K61,CHAR(160),"")))=0,
"REQ",
SUBSTITUTE(SUBSTITUTE([1]raw_data!K61,"-","")," ",""))</f>
        <v>REQ</v>
      </c>
    </row>
    <row r="199" spans="1:1" x14ac:dyDescent="0.25">
      <c r="A199" t="str">
        <f>SUBSTITUTE(SUBSTITUTE([1]raw_data!A199,"STU-",""),"S","")</f>
        <v/>
      </c>
    </row>
    <row r="200" spans="1:1" x14ac:dyDescent="0.25">
      <c r="A200" t="str">
        <f>SUBSTITUTE(SUBSTITUTE([1]raw_data!A200,"STU-",""),"S","")</f>
        <v/>
      </c>
    </row>
    <row r="201" spans="1:1" x14ac:dyDescent="0.25">
      <c r="A201" t="str">
        <f>SUBSTITUTE(SUBSTITUTE([1]raw_data!A201,"STU-",""),"S","")</f>
        <v/>
      </c>
    </row>
    <row r="202" spans="1:1" x14ac:dyDescent="0.25">
      <c r="A202" t="str">
        <f>SUBSTITUTE(SUBSTITUTE([1]raw_data!A202,"STU-",""),"S","")</f>
        <v/>
      </c>
    </row>
    <row r="203" spans="1:1" x14ac:dyDescent="0.25">
      <c r="A203" t="str">
        <f>SUBSTITUTE(SUBSTITUTE([1]raw_data!A203,"STU-",""),"S","")</f>
        <v/>
      </c>
    </row>
    <row r="204" spans="1:1" x14ac:dyDescent="0.25">
      <c r="A204" t="str">
        <f>SUBSTITUTE(SUBSTITUTE([1]raw_data!A204,"STU-",""),"S","")</f>
        <v/>
      </c>
    </row>
    <row r="205" spans="1:1" x14ac:dyDescent="0.25">
      <c r="A205" t="str">
        <f>SUBSTITUTE(SUBSTITUTE([1]raw_data!A205,"STU-",""),"S","")</f>
        <v/>
      </c>
    </row>
    <row r="206" spans="1:1" x14ac:dyDescent="0.25">
      <c r="A206" t="str">
        <f>SUBSTITUTE(SUBSTITUTE([1]raw_data!A206,"STU-",""),"S","")</f>
        <v/>
      </c>
    </row>
    <row r="207" spans="1:1" x14ac:dyDescent="0.25">
      <c r="A207" t="str">
        <f>SUBSTITUTE(SUBSTITUTE([1]raw_data!A207,"STU-",""),"S","")</f>
        <v/>
      </c>
    </row>
    <row r="208" spans="1:1" x14ac:dyDescent="0.25">
      <c r="A208" t="str">
        <f>SUBSTITUTE(SUBSTITUTE([1]raw_data!A208,"STU-",""),"S","")</f>
        <v/>
      </c>
    </row>
    <row r="209" spans="1:1" x14ac:dyDescent="0.25">
      <c r="A209" t="str">
        <f>SUBSTITUTE(SUBSTITUTE([1]raw_data!A209,"STU-",""),"S","")</f>
        <v/>
      </c>
    </row>
    <row r="210" spans="1:1" x14ac:dyDescent="0.25">
      <c r="A210" t="str">
        <f>SUBSTITUTE(SUBSTITUTE([1]raw_data!A210,"STU-",""),"S","")</f>
        <v/>
      </c>
    </row>
    <row r="211" spans="1:1" x14ac:dyDescent="0.25">
      <c r="A211" t="str">
        <f>SUBSTITUTE(SUBSTITUTE([1]raw_data!A211,"STU-",""),"S","")</f>
        <v/>
      </c>
    </row>
    <row r="212" spans="1:1" x14ac:dyDescent="0.25">
      <c r="A212" t="str">
        <f>SUBSTITUTE(SUBSTITUTE([1]raw_data!A212,"STU-",""),"S","")</f>
        <v/>
      </c>
    </row>
    <row r="213" spans="1:1" x14ac:dyDescent="0.25">
      <c r="A213" t="str">
        <f>SUBSTITUTE(SUBSTITUTE([1]raw_data!A213,"STU-",""),"S","")</f>
        <v/>
      </c>
    </row>
    <row r="214" spans="1:1" x14ac:dyDescent="0.25">
      <c r="A214" t="str">
        <f>SUBSTITUTE(SUBSTITUTE([1]raw_data!A214,"STU-",""),"S","")</f>
        <v/>
      </c>
    </row>
    <row r="215" spans="1:1" x14ac:dyDescent="0.25">
      <c r="A215" t="str">
        <f>SUBSTITUTE(SUBSTITUTE([1]raw_data!A215,"STU-",""),"S","")</f>
        <v/>
      </c>
    </row>
    <row r="216" spans="1:1" x14ac:dyDescent="0.25">
      <c r="A216" t="str">
        <f>SUBSTITUTE(SUBSTITUTE([1]raw_data!A216,"STU-",""),"S","")</f>
        <v/>
      </c>
    </row>
    <row r="217" spans="1:1" x14ac:dyDescent="0.25">
      <c r="A217" t="str">
        <f>SUBSTITUTE(SUBSTITUTE([1]raw_data!A217,"STU-",""),"S","")</f>
        <v/>
      </c>
    </row>
    <row r="218" spans="1:1" x14ac:dyDescent="0.25">
      <c r="A218" t="str">
        <f>SUBSTITUTE(SUBSTITUTE([1]raw_data!A218,"STU-",""),"S","")</f>
        <v/>
      </c>
    </row>
    <row r="219" spans="1:1" x14ac:dyDescent="0.25">
      <c r="A219" t="str">
        <f>SUBSTITUTE(SUBSTITUTE([1]raw_data!A219,"STU-",""),"S","")</f>
        <v/>
      </c>
    </row>
    <row r="220" spans="1:1" x14ac:dyDescent="0.25">
      <c r="A220" t="str">
        <f>SUBSTITUTE(SUBSTITUTE([1]raw_data!A220,"STU-",""),"S","")</f>
        <v/>
      </c>
    </row>
    <row r="221" spans="1:1" x14ac:dyDescent="0.25">
      <c r="A221" t="str">
        <f>SUBSTITUTE(SUBSTITUTE([1]raw_data!A221,"STU-",""),"S","")</f>
        <v/>
      </c>
    </row>
    <row r="222" spans="1:1" x14ac:dyDescent="0.25">
      <c r="A222" t="str">
        <f>SUBSTITUTE(SUBSTITUTE([1]raw_data!A222,"STU-",""),"S","")</f>
        <v/>
      </c>
    </row>
    <row r="223" spans="1:1" x14ac:dyDescent="0.25">
      <c r="A223" t="str">
        <f>SUBSTITUTE(SUBSTITUTE([1]raw_data!A223,"STU-",""),"S","")</f>
        <v/>
      </c>
    </row>
    <row r="224" spans="1:1" x14ac:dyDescent="0.25">
      <c r="A224" t="str">
        <f>SUBSTITUTE(SUBSTITUTE([1]raw_data!A224,"STU-",""),"S","")</f>
        <v/>
      </c>
    </row>
    <row r="225" spans="1:1" x14ac:dyDescent="0.25">
      <c r="A225" t="str">
        <f>SUBSTITUTE(SUBSTITUTE([1]raw_data!A225,"STU-",""),"S","")</f>
        <v/>
      </c>
    </row>
    <row r="226" spans="1:1" x14ac:dyDescent="0.25">
      <c r="A226" t="str">
        <f>SUBSTITUTE(SUBSTITUTE([1]raw_data!A226,"STU-",""),"S","")</f>
        <v/>
      </c>
    </row>
    <row r="227" spans="1:1" x14ac:dyDescent="0.25">
      <c r="A227" t="str">
        <f>SUBSTITUTE(SUBSTITUTE([1]raw_data!A227,"STU-",""),"S","")</f>
        <v/>
      </c>
    </row>
    <row r="228" spans="1:1" x14ac:dyDescent="0.25">
      <c r="A228" t="str">
        <f>SUBSTITUTE(SUBSTITUTE([1]raw_data!A228,"STU-",""),"S","")</f>
        <v/>
      </c>
    </row>
  </sheetData>
  <dataValidations count="1">
    <dataValidation type="whole" allowBlank="1" showInputMessage="1" showErrorMessage="1" sqref="K1:K1048576" xr:uid="{AF86BB96-D08B-4EE8-830B-CB3A096882F6}">
      <formula1>1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Prakesh SP</dc:creator>
  <cp:lastModifiedBy>Prakesh SP</cp:lastModifiedBy>
  <dcterms:created xsi:type="dcterms:W3CDTF">2026-02-23T15:41:57Z</dcterms:created>
  <dcterms:modified xsi:type="dcterms:W3CDTF">2026-02-23T15:42:52Z</dcterms:modified>
</cp:coreProperties>
</file>